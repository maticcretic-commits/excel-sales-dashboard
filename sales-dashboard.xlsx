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shboard" sheetId="2" state="visible" r:id="rId2"/>
  </sheets>
  <definedNames>
    <definedName name="_xlnm._FilterDatabase" localSheetId="0" hidden="1">'Data'!$A$1:$K$501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₹#,##0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6"/>
    </font>
    <font>
      <i val="1"/>
      <color rgb="00595959"/>
      <sz val="10"/>
    </font>
    <font>
      <b val="1"/>
      <color rgb="00595959"/>
      <sz val="10"/>
    </font>
    <font>
      <b val="1"/>
      <color rgb="001F4E78"/>
      <sz val="14"/>
    </font>
    <font>
      <b val="1"/>
      <color rgb="001F4E78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166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17" fontId="0" fillId="0" borderId="1" pivotButton="0" quotePrefix="0" xfId="0"/>
    <xf numFmtId="166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 — 2025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'Dashboard'!$A$11:$A$22</f>
            </numRef>
          </cat>
          <val>
            <numRef>
              <f>'Dashboard'!$B$11:$B$22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'Dashboard'!$F$11:$F$14</f>
            </numRef>
          </cat>
          <val>
            <numRef>
              <f>'Dashboard'!$G$11:$G$14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468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6" customWidth="1" min="4" max="4"/>
    <col width="14" customWidth="1" min="5" max="5"/>
    <col width="13" customWidth="1" min="6" max="6"/>
    <col width="8" customWidth="1" min="7" max="7"/>
    <col width="12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SalesRep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UnitPrice</t>
        </is>
      </c>
      <c r="I1" s="1" t="inlineStr">
        <is>
          <t>Revenue</t>
        </is>
      </c>
      <c r="J1" s="1" t="inlineStr">
        <is>
          <t>Cost</t>
        </is>
      </c>
      <c r="K1" s="1" t="inlineStr">
        <is>
          <t>Profit</t>
        </is>
      </c>
    </row>
    <row r="2">
      <c r="A2" t="inlineStr">
        <is>
          <t>ORD-1001</t>
        </is>
      </c>
      <c r="B2" s="2" t="n">
        <v>45772</v>
      </c>
      <c r="C2" t="inlineStr">
        <is>
          <t>North</t>
        </is>
      </c>
      <c r="D2" t="inlineStr">
        <is>
          <t>Amit Sharma</t>
        </is>
      </c>
      <c r="E2" t="inlineStr">
        <is>
          <t>Laptop</t>
        </is>
      </c>
      <c r="F2" t="inlineStr">
        <is>
          <t>Electronics</t>
        </is>
      </c>
      <c r="G2" s="3" t="n">
        <v>12</v>
      </c>
      <c r="H2" s="4" t="n">
        <v>55000</v>
      </c>
      <c r="I2" s="4" t="n">
        <v>660000</v>
      </c>
      <c r="J2" s="4" t="n">
        <v>399304</v>
      </c>
      <c r="K2" s="4" t="n">
        <v>260696</v>
      </c>
    </row>
    <row r="3">
      <c r="A3" t="inlineStr">
        <is>
          <t>ORD-1002</t>
        </is>
      </c>
      <c r="B3" s="2" t="n">
        <v>45702</v>
      </c>
      <c r="C3" t="inlineStr">
        <is>
          <t>North</t>
        </is>
      </c>
      <c r="D3" t="inlineStr">
        <is>
          <t>Priya Verma</t>
        </is>
      </c>
      <c r="E3" t="inlineStr">
        <is>
          <t>Keyboard</t>
        </is>
      </c>
      <c r="F3" t="inlineStr">
        <is>
          <t>Accessories</t>
        </is>
      </c>
      <c r="G3" s="3" t="n">
        <v>12</v>
      </c>
      <c r="H3" s="4" t="n">
        <v>2500</v>
      </c>
      <c r="I3" s="4" t="n">
        <v>30000</v>
      </c>
      <c r="J3" s="4" t="n">
        <v>21853</v>
      </c>
      <c r="K3" s="4" t="n">
        <v>8147</v>
      </c>
    </row>
    <row r="4">
      <c r="A4" t="inlineStr">
        <is>
          <t>ORD-1003</t>
        </is>
      </c>
      <c r="B4" s="2" t="n">
        <v>45916</v>
      </c>
      <c r="C4" t="inlineStr">
        <is>
          <t>North</t>
        </is>
      </c>
      <c r="D4" t="inlineStr">
        <is>
          <t>Amit Sharma</t>
        </is>
      </c>
      <c r="E4" t="inlineStr">
        <is>
          <t>Laptop</t>
        </is>
      </c>
      <c r="F4" t="inlineStr">
        <is>
          <t>Electronics</t>
        </is>
      </c>
      <c r="G4" s="3" t="n">
        <v>2</v>
      </c>
      <c r="H4" s="4" t="n">
        <v>55000</v>
      </c>
      <c r="I4" s="4" t="n">
        <v>110000</v>
      </c>
      <c r="J4" s="4" t="n">
        <v>65310</v>
      </c>
      <c r="K4" s="4" t="n">
        <v>44690</v>
      </c>
    </row>
    <row r="5">
      <c r="A5" t="inlineStr">
        <is>
          <t>ORD-1004</t>
        </is>
      </c>
      <c r="B5" s="2" t="n">
        <v>45872</v>
      </c>
      <c r="C5" t="inlineStr">
        <is>
          <t>South</t>
        </is>
      </c>
      <c r="D5" t="inlineStr">
        <is>
          <t>Ravi Nair</t>
        </is>
      </c>
      <c r="E5" t="inlineStr">
        <is>
          <t>Keyboard</t>
        </is>
      </c>
      <c r="F5" t="inlineStr">
        <is>
          <t>Accessories</t>
        </is>
      </c>
      <c r="G5" s="3" t="n">
        <v>11</v>
      </c>
      <c r="H5" s="4" t="n">
        <v>2500</v>
      </c>
      <c r="I5" s="4" t="n">
        <v>27500</v>
      </c>
      <c r="J5" s="4" t="n">
        <v>18982</v>
      </c>
      <c r="K5" s="4" t="n">
        <v>8518</v>
      </c>
    </row>
    <row r="6">
      <c r="A6" t="inlineStr">
        <is>
          <t>ORD-1005</t>
        </is>
      </c>
      <c r="B6" s="2" t="n">
        <v>45661</v>
      </c>
      <c r="C6" t="inlineStr">
        <is>
          <t>West</t>
        </is>
      </c>
      <c r="D6" t="inlineStr">
        <is>
          <t>Vikram Mehta</t>
        </is>
      </c>
      <c r="E6" t="inlineStr">
        <is>
          <t>Headphones</t>
        </is>
      </c>
      <c r="F6" t="inlineStr">
        <is>
          <t>Accessories</t>
        </is>
      </c>
      <c r="G6" s="3" t="n">
        <v>5</v>
      </c>
      <c r="H6" s="4" t="n">
        <v>3500</v>
      </c>
      <c r="I6" s="4" t="n">
        <v>17500</v>
      </c>
      <c r="J6" s="4" t="n">
        <v>12458</v>
      </c>
      <c r="K6" s="4" t="n">
        <v>5042</v>
      </c>
    </row>
    <row r="7">
      <c r="A7" t="inlineStr">
        <is>
          <t>ORD-1006</t>
        </is>
      </c>
      <c r="B7" s="2" t="n">
        <v>45830</v>
      </c>
      <c r="C7" t="inlineStr">
        <is>
          <t>West</t>
        </is>
      </c>
      <c r="D7" t="inlineStr">
        <is>
          <t>Vikram Mehta</t>
        </is>
      </c>
      <c r="E7" t="inlineStr">
        <is>
          <t>Tablet</t>
        </is>
      </c>
      <c r="F7" t="inlineStr">
        <is>
          <t>Electronics</t>
        </is>
      </c>
      <c r="G7" s="3" t="n">
        <v>5</v>
      </c>
      <c r="H7" s="4" t="n">
        <v>18000</v>
      </c>
      <c r="I7" s="4" t="n">
        <v>90000</v>
      </c>
      <c r="J7" s="4" t="n">
        <v>52299</v>
      </c>
      <c r="K7" s="4" t="n">
        <v>37701</v>
      </c>
    </row>
    <row r="8">
      <c r="A8" t="inlineStr">
        <is>
          <t>ORD-1007</t>
        </is>
      </c>
      <c r="B8" s="2" t="n">
        <v>45834</v>
      </c>
      <c r="C8" t="inlineStr">
        <is>
          <t>North</t>
        </is>
      </c>
      <c r="D8" t="inlineStr">
        <is>
          <t>Priya Verma</t>
        </is>
      </c>
      <c r="E8" t="inlineStr">
        <is>
          <t>Monitor</t>
        </is>
      </c>
      <c r="F8" t="inlineStr">
        <is>
          <t>Electronics</t>
        </is>
      </c>
      <c r="G8" s="3" t="n">
        <v>2</v>
      </c>
      <c r="H8" s="4" t="n">
        <v>14000</v>
      </c>
      <c r="I8" s="4" t="n">
        <v>28000</v>
      </c>
      <c r="J8" s="4" t="n">
        <v>17410</v>
      </c>
      <c r="K8" s="4" t="n">
        <v>10590</v>
      </c>
    </row>
    <row r="9">
      <c r="A9" t="inlineStr">
        <is>
          <t>ORD-1008</t>
        </is>
      </c>
      <c r="B9" s="2" t="n">
        <v>45851</v>
      </c>
      <c r="C9" t="inlineStr">
        <is>
          <t>North</t>
        </is>
      </c>
      <c r="D9" t="inlineStr">
        <is>
          <t>Amit Sharma</t>
        </is>
      </c>
      <c r="E9" t="inlineStr">
        <is>
          <t>Keyboard</t>
        </is>
      </c>
      <c r="F9" t="inlineStr">
        <is>
          <t>Accessories</t>
        </is>
      </c>
      <c r="G9" s="3" t="n">
        <v>8</v>
      </c>
      <c r="H9" s="4" t="n">
        <v>2500</v>
      </c>
      <c r="I9" s="4" t="n">
        <v>20000</v>
      </c>
      <c r="J9" s="4" t="n">
        <v>13145</v>
      </c>
      <c r="K9" s="4" t="n">
        <v>6855</v>
      </c>
    </row>
    <row r="10">
      <c r="A10" t="inlineStr">
        <is>
          <t>ORD-1009</t>
        </is>
      </c>
      <c r="B10" s="2" t="n">
        <v>45843</v>
      </c>
      <c r="C10" t="inlineStr">
        <is>
          <t>East</t>
        </is>
      </c>
      <c r="D10" t="inlineStr">
        <is>
          <t>Sourav Das</t>
        </is>
      </c>
      <c r="E10" t="inlineStr">
        <is>
          <t>Keyboard</t>
        </is>
      </c>
      <c r="F10" t="inlineStr">
        <is>
          <t>Accessories</t>
        </is>
      </c>
      <c r="G10" s="3" t="n">
        <v>10</v>
      </c>
      <c r="H10" s="4" t="n">
        <v>2500</v>
      </c>
      <c r="I10" s="4" t="n">
        <v>25000</v>
      </c>
      <c r="J10" s="4" t="n">
        <v>18177</v>
      </c>
      <c r="K10" s="4" t="n">
        <v>6823</v>
      </c>
    </row>
    <row r="11">
      <c r="A11" t="inlineStr">
        <is>
          <t>ORD-1010</t>
        </is>
      </c>
      <c r="B11" s="2" t="n">
        <v>45806</v>
      </c>
      <c r="C11" t="inlineStr">
        <is>
          <t>North</t>
        </is>
      </c>
      <c r="D11" t="inlineStr">
        <is>
          <t>Amit Sharma</t>
        </is>
      </c>
      <c r="E11" t="inlineStr">
        <is>
          <t>Laptop</t>
        </is>
      </c>
      <c r="F11" t="inlineStr">
        <is>
          <t>Electronics</t>
        </is>
      </c>
      <c r="G11" s="3" t="n">
        <v>11</v>
      </c>
      <c r="H11" s="4" t="n">
        <v>55000</v>
      </c>
      <c r="I11" s="4" t="n">
        <v>605000</v>
      </c>
      <c r="J11" s="4" t="n">
        <v>360326</v>
      </c>
      <c r="K11" s="4" t="n">
        <v>244674</v>
      </c>
    </row>
    <row r="12">
      <c r="A12" t="inlineStr">
        <is>
          <t>ORD-1011</t>
        </is>
      </c>
      <c r="B12" s="2" t="n">
        <v>45983</v>
      </c>
      <c r="C12" t="inlineStr">
        <is>
          <t>South</t>
        </is>
      </c>
      <c r="D12" t="inlineStr">
        <is>
          <t>Divya Menon</t>
        </is>
      </c>
      <c r="E12" t="inlineStr">
        <is>
          <t>Laptop</t>
        </is>
      </c>
      <c r="F12" t="inlineStr">
        <is>
          <t>Electronics</t>
        </is>
      </c>
      <c r="G12" s="3" t="n">
        <v>7</v>
      </c>
      <c r="H12" s="4" t="n">
        <v>55000</v>
      </c>
      <c r="I12" s="4" t="n">
        <v>385000</v>
      </c>
      <c r="J12" s="4" t="n">
        <v>233154</v>
      </c>
      <c r="K12" s="4" t="n">
        <v>151846</v>
      </c>
    </row>
    <row r="13">
      <c r="A13" t="inlineStr">
        <is>
          <t>ORD-1012</t>
        </is>
      </c>
      <c r="B13" s="2" t="n">
        <v>45794</v>
      </c>
      <c r="C13" t="inlineStr">
        <is>
          <t>South</t>
        </is>
      </c>
      <c r="D13" t="inlineStr">
        <is>
          <t>Ravi Nair</t>
        </is>
      </c>
      <c r="E13" t="inlineStr">
        <is>
          <t>Tablet</t>
        </is>
      </c>
      <c r="F13" t="inlineStr">
        <is>
          <t>Electronics</t>
        </is>
      </c>
      <c r="G13" s="3" t="n">
        <v>6</v>
      </c>
      <c r="H13" s="4" t="n">
        <v>18000</v>
      </c>
      <c r="I13" s="4" t="n">
        <v>108000</v>
      </c>
      <c r="J13" s="4" t="n">
        <v>63925</v>
      </c>
      <c r="K13" s="4" t="n">
        <v>44075</v>
      </c>
    </row>
    <row r="14">
      <c r="A14" t="inlineStr">
        <is>
          <t>ORD-1013</t>
        </is>
      </c>
      <c r="B14" s="2" t="n">
        <v>45894</v>
      </c>
      <c r="C14" t="inlineStr">
        <is>
          <t>South</t>
        </is>
      </c>
      <c r="D14" t="inlineStr">
        <is>
          <t>Divya Menon</t>
        </is>
      </c>
      <c r="E14" t="inlineStr">
        <is>
          <t>Headphones</t>
        </is>
      </c>
      <c r="F14" t="inlineStr">
        <is>
          <t>Accessories</t>
        </is>
      </c>
      <c r="G14" s="3" t="n">
        <v>12</v>
      </c>
      <c r="H14" s="4" t="n">
        <v>3500</v>
      </c>
      <c r="I14" s="4" t="n">
        <v>42000</v>
      </c>
      <c r="J14" s="4" t="n">
        <v>25156</v>
      </c>
      <c r="K14" s="4" t="n">
        <v>16844</v>
      </c>
    </row>
    <row r="15">
      <c r="A15" t="inlineStr">
        <is>
          <t>ORD-1014</t>
        </is>
      </c>
      <c r="B15" s="2" t="n">
        <v>46008</v>
      </c>
      <c r="C15" t="inlineStr">
        <is>
          <t>East</t>
        </is>
      </c>
      <c r="D15" t="inlineStr">
        <is>
          <t>Anita Roy</t>
        </is>
      </c>
      <c r="E15" t="inlineStr">
        <is>
          <t>Keyboard</t>
        </is>
      </c>
      <c r="F15" t="inlineStr">
        <is>
          <t>Accessories</t>
        </is>
      </c>
      <c r="G15" s="3" t="n">
        <v>12</v>
      </c>
      <c r="H15" s="4" t="n">
        <v>2500</v>
      </c>
      <c r="I15" s="4" t="n">
        <v>30000</v>
      </c>
      <c r="J15" s="4" t="n">
        <v>19842</v>
      </c>
      <c r="K15" s="4" t="n">
        <v>10158</v>
      </c>
    </row>
    <row r="16">
      <c r="A16" t="inlineStr">
        <is>
          <t>ORD-1015</t>
        </is>
      </c>
      <c r="B16" s="2" t="n">
        <v>45863</v>
      </c>
      <c r="C16" t="inlineStr">
        <is>
          <t>North</t>
        </is>
      </c>
      <c r="D16" t="inlineStr">
        <is>
          <t>Priya Verma</t>
        </is>
      </c>
      <c r="E16" t="inlineStr">
        <is>
          <t>Smartphone</t>
        </is>
      </c>
      <c r="F16" t="inlineStr">
        <is>
          <t>Electronics</t>
        </is>
      </c>
      <c r="G16" s="3" t="n">
        <v>1</v>
      </c>
      <c r="H16" s="4" t="n">
        <v>22000</v>
      </c>
      <c r="I16" s="4" t="n">
        <v>22000</v>
      </c>
      <c r="J16" s="4" t="n">
        <v>15642</v>
      </c>
      <c r="K16" s="4" t="n">
        <v>6358</v>
      </c>
    </row>
    <row r="17">
      <c r="A17" t="inlineStr">
        <is>
          <t>ORD-1016</t>
        </is>
      </c>
      <c r="B17" s="2" t="n">
        <v>45819</v>
      </c>
      <c r="C17" t="inlineStr">
        <is>
          <t>North</t>
        </is>
      </c>
      <c r="D17" t="inlineStr">
        <is>
          <t>Amit Sharma</t>
        </is>
      </c>
      <c r="E17" t="inlineStr">
        <is>
          <t>Smartphone</t>
        </is>
      </c>
      <c r="F17" t="inlineStr">
        <is>
          <t>Electronics</t>
        </is>
      </c>
      <c r="G17" s="3" t="n">
        <v>10</v>
      </c>
      <c r="H17" s="4" t="n">
        <v>22000</v>
      </c>
      <c r="I17" s="4" t="n">
        <v>220000</v>
      </c>
      <c r="J17" s="4" t="n">
        <v>159560</v>
      </c>
      <c r="K17" s="4" t="n">
        <v>60440</v>
      </c>
    </row>
    <row r="18">
      <c r="A18" t="inlineStr">
        <is>
          <t>ORD-1017</t>
        </is>
      </c>
      <c r="B18" s="2" t="n">
        <v>45793</v>
      </c>
      <c r="C18" t="inlineStr">
        <is>
          <t>West</t>
        </is>
      </c>
      <c r="D18" t="inlineStr">
        <is>
          <t>Vikram Mehta</t>
        </is>
      </c>
      <c r="E18" t="inlineStr">
        <is>
          <t>Monitor</t>
        </is>
      </c>
      <c r="F18" t="inlineStr">
        <is>
          <t>Electronics</t>
        </is>
      </c>
      <c r="G18" s="3" t="n">
        <v>11</v>
      </c>
      <c r="H18" s="4" t="n">
        <v>14000</v>
      </c>
      <c r="I18" s="4" t="n">
        <v>154000</v>
      </c>
      <c r="J18" s="4" t="n">
        <v>98833</v>
      </c>
      <c r="K18" s="4" t="n">
        <v>55167</v>
      </c>
    </row>
    <row r="19">
      <c r="A19" t="inlineStr">
        <is>
          <t>ORD-1018</t>
        </is>
      </c>
      <c r="B19" s="2" t="n">
        <v>45957</v>
      </c>
      <c r="C19" t="inlineStr">
        <is>
          <t>South</t>
        </is>
      </c>
      <c r="D19" t="inlineStr">
        <is>
          <t>Divya Menon</t>
        </is>
      </c>
      <c r="E19" t="inlineStr">
        <is>
          <t>Keyboard</t>
        </is>
      </c>
      <c r="F19" t="inlineStr">
        <is>
          <t>Accessories</t>
        </is>
      </c>
      <c r="G19" s="3" t="n">
        <v>9</v>
      </c>
      <c r="H19" s="4" t="n">
        <v>2500</v>
      </c>
      <c r="I19" s="4" t="n">
        <v>22500</v>
      </c>
      <c r="J19" s="4" t="n">
        <v>14800</v>
      </c>
      <c r="K19" s="4" t="n">
        <v>7700</v>
      </c>
    </row>
    <row r="20">
      <c r="A20" t="inlineStr">
        <is>
          <t>ORD-1019</t>
        </is>
      </c>
      <c r="B20" s="2" t="n">
        <v>45728</v>
      </c>
      <c r="C20" t="inlineStr">
        <is>
          <t>West</t>
        </is>
      </c>
      <c r="D20" t="inlineStr">
        <is>
          <t>Kavita Patil</t>
        </is>
      </c>
      <c r="E20" t="inlineStr">
        <is>
          <t>Tablet</t>
        </is>
      </c>
      <c r="F20" t="inlineStr">
        <is>
          <t>Electronics</t>
        </is>
      </c>
      <c r="G20" s="3" t="n">
        <v>4</v>
      </c>
      <c r="H20" s="4" t="n">
        <v>18000</v>
      </c>
      <c r="I20" s="4" t="n">
        <v>72000</v>
      </c>
      <c r="J20" s="4" t="n">
        <v>53961</v>
      </c>
      <c r="K20" s="4" t="n">
        <v>18039</v>
      </c>
    </row>
    <row r="21">
      <c r="A21" t="inlineStr">
        <is>
          <t>ORD-1020</t>
        </is>
      </c>
      <c r="B21" s="2" t="n">
        <v>45739</v>
      </c>
      <c r="C21" t="inlineStr">
        <is>
          <t>North</t>
        </is>
      </c>
      <c r="D21" t="inlineStr">
        <is>
          <t>Priya Verma</t>
        </is>
      </c>
      <c r="E21" t="inlineStr">
        <is>
          <t>Laptop</t>
        </is>
      </c>
      <c r="F21" t="inlineStr">
        <is>
          <t>Electronics</t>
        </is>
      </c>
      <c r="G21" s="3" t="n">
        <v>2</v>
      </c>
      <c r="H21" s="4" t="n">
        <v>55000</v>
      </c>
      <c r="I21" s="4" t="n">
        <v>110000</v>
      </c>
      <c r="J21" s="4" t="n">
        <v>63863</v>
      </c>
      <c r="K21" s="4" t="n">
        <v>46137</v>
      </c>
    </row>
    <row r="22">
      <c r="A22" t="inlineStr">
        <is>
          <t>ORD-1021</t>
        </is>
      </c>
      <c r="B22" s="2" t="n">
        <v>45897</v>
      </c>
      <c r="C22" t="inlineStr">
        <is>
          <t>North</t>
        </is>
      </c>
      <c r="D22" t="inlineStr">
        <is>
          <t>Priya Verma</t>
        </is>
      </c>
      <c r="E22" t="inlineStr">
        <is>
          <t>Monitor</t>
        </is>
      </c>
      <c r="F22" t="inlineStr">
        <is>
          <t>Electronics</t>
        </is>
      </c>
      <c r="G22" s="3" t="n">
        <v>7</v>
      </c>
      <c r="H22" s="4" t="n">
        <v>14000</v>
      </c>
      <c r="I22" s="4" t="n">
        <v>98000</v>
      </c>
      <c r="J22" s="4" t="n">
        <v>65579</v>
      </c>
      <c r="K22" s="4" t="n">
        <v>32421</v>
      </c>
    </row>
    <row r="23">
      <c r="A23" t="inlineStr">
        <is>
          <t>ORD-1022</t>
        </is>
      </c>
      <c r="B23" s="2" t="n">
        <v>45932</v>
      </c>
      <c r="C23" t="inlineStr">
        <is>
          <t>North</t>
        </is>
      </c>
      <c r="D23" t="inlineStr">
        <is>
          <t>Priya Verma</t>
        </is>
      </c>
      <c r="E23" t="inlineStr">
        <is>
          <t>Keyboard</t>
        </is>
      </c>
      <c r="F23" t="inlineStr">
        <is>
          <t>Accessories</t>
        </is>
      </c>
      <c r="G23" s="3" t="n">
        <v>12</v>
      </c>
      <c r="H23" s="4" t="n">
        <v>2500</v>
      </c>
      <c r="I23" s="4" t="n">
        <v>30000</v>
      </c>
      <c r="J23" s="4" t="n">
        <v>17187</v>
      </c>
      <c r="K23" s="4" t="n">
        <v>12813</v>
      </c>
    </row>
    <row r="24">
      <c r="A24" t="inlineStr">
        <is>
          <t>ORD-1023</t>
        </is>
      </c>
      <c r="B24" s="2" t="n">
        <v>45890</v>
      </c>
      <c r="C24" t="inlineStr">
        <is>
          <t>East</t>
        </is>
      </c>
      <c r="D24" t="inlineStr">
        <is>
          <t>Sourav Das</t>
        </is>
      </c>
      <c r="E24" t="inlineStr">
        <is>
          <t>Laptop</t>
        </is>
      </c>
      <c r="F24" t="inlineStr">
        <is>
          <t>Electronics</t>
        </is>
      </c>
      <c r="G24" s="3" t="n">
        <v>5</v>
      </c>
      <c r="H24" s="4" t="n">
        <v>55000</v>
      </c>
      <c r="I24" s="4" t="n">
        <v>275000</v>
      </c>
      <c r="J24" s="4" t="n">
        <v>175162</v>
      </c>
      <c r="K24" s="4" t="n">
        <v>99838</v>
      </c>
    </row>
    <row r="25">
      <c r="A25" t="inlineStr">
        <is>
          <t>ORD-1024</t>
        </is>
      </c>
      <c r="B25" s="2" t="n">
        <v>45712</v>
      </c>
      <c r="C25" t="inlineStr">
        <is>
          <t>East</t>
        </is>
      </c>
      <c r="D25" t="inlineStr">
        <is>
          <t>Anita Roy</t>
        </is>
      </c>
      <c r="E25" t="inlineStr">
        <is>
          <t>Headphones</t>
        </is>
      </c>
      <c r="F25" t="inlineStr">
        <is>
          <t>Accessories</t>
        </is>
      </c>
      <c r="G25" s="3" t="n">
        <v>3</v>
      </c>
      <c r="H25" s="4" t="n">
        <v>3500</v>
      </c>
      <c r="I25" s="4" t="n">
        <v>10500</v>
      </c>
      <c r="J25" s="4" t="n">
        <v>6841</v>
      </c>
      <c r="K25" s="4" t="n">
        <v>3659</v>
      </c>
    </row>
    <row r="26">
      <c r="A26" t="inlineStr">
        <is>
          <t>ORD-1025</t>
        </is>
      </c>
      <c r="B26" s="2" t="n">
        <v>45934</v>
      </c>
      <c r="C26" t="inlineStr">
        <is>
          <t>South</t>
        </is>
      </c>
      <c r="D26" t="inlineStr">
        <is>
          <t>Ravi Nair</t>
        </is>
      </c>
      <c r="E26" t="inlineStr">
        <is>
          <t>Smartphone</t>
        </is>
      </c>
      <c r="F26" t="inlineStr">
        <is>
          <t>Electronics</t>
        </is>
      </c>
      <c r="G26" s="3" t="n">
        <v>6</v>
      </c>
      <c r="H26" s="4" t="n">
        <v>22000</v>
      </c>
      <c r="I26" s="4" t="n">
        <v>132000</v>
      </c>
      <c r="J26" s="4" t="n">
        <v>92730</v>
      </c>
      <c r="K26" s="4" t="n">
        <v>39270</v>
      </c>
    </row>
    <row r="27">
      <c r="A27" t="inlineStr">
        <is>
          <t>ORD-1026</t>
        </is>
      </c>
      <c r="B27" s="2" t="n">
        <v>45843</v>
      </c>
      <c r="C27" t="inlineStr">
        <is>
          <t>East</t>
        </is>
      </c>
      <c r="D27" t="inlineStr">
        <is>
          <t>Anita Roy</t>
        </is>
      </c>
      <c r="E27" t="inlineStr">
        <is>
          <t>Monitor</t>
        </is>
      </c>
      <c r="F27" t="inlineStr">
        <is>
          <t>Electronics</t>
        </is>
      </c>
      <c r="G27" s="3" t="n">
        <v>1</v>
      </c>
      <c r="H27" s="4" t="n">
        <v>14000</v>
      </c>
      <c r="I27" s="4" t="n">
        <v>14000</v>
      </c>
      <c r="J27" s="4" t="n">
        <v>8013</v>
      </c>
      <c r="K27" s="4" t="n">
        <v>5987</v>
      </c>
    </row>
    <row r="28">
      <c r="A28" t="inlineStr">
        <is>
          <t>ORD-1027</t>
        </is>
      </c>
      <c r="B28" s="2" t="n">
        <v>45698</v>
      </c>
      <c r="C28" t="inlineStr">
        <is>
          <t>South</t>
        </is>
      </c>
      <c r="D28" t="inlineStr">
        <is>
          <t>Ravi Nair</t>
        </is>
      </c>
      <c r="E28" t="inlineStr">
        <is>
          <t>Laptop</t>
        </is>
      </c>
      <c r="F28" t="inlineStr">
        <is>
          <t>Electronics</t>
        </is>
      </c>
      <c r="G28" s="3" t="n">
        <v>4</v>
      </c>
      <c r="H28" s="4" t="n">
        <v>55000</v>
      </c>
      <c r="I28" s="4" t="n">
        <v>220000</v>
      </c>
      <c r="J28" s="4" t="n">
        <v>159632</v>
      </c>
      <c r="K28" s="4" t="n">
        <v>60368</v>
      </c>
    </row>
    <row r="29">
      <c r="A29" t="inlineStr">
        <is>
          <t>ORD-1028</t>
        </is>
      </c>
      <c r="B29" s="2" t="n">
        <v>45723</v>
      </c>
      <c r="C29" t="inlineStr">
        <is>
          <t>West</t>
        </is>
      </c>
      <c r="D29" t="inlineStr">
        <is>
          <t>Kavita Patil</t>
        </is>
      </c>
      <c r="E29" t="inlineStr">
        <is>
          <t>Laptop</t>
        </is>
      </c>
      <c r="F29" t="inlineStr">
        <is>
          <t>Electronics</t>
        </is>
      </c>
      <c r="G29" s="3" t="n">
        <v>9</v>
      </c>
      <c r="H29" s="4" t="n">
        <v>55000</v>
      </c>
      <c r="I29" s="4" t="n">
        <v>495000</v>
      </c>
      <c r="J29" s="4" t="n">
        <v>348068</v>
      </c>
      <c r="K29" s="4" t="n">
        <v>146932</v>
      </c>
    </row>
    <row r="30">
      <c r="A30" t="inlineStr">
        <is>
          <t>ORD-1029</t>
        </is>
      </c>
      <c r="B30" s="2" t="n">
        <v>45874</v>
      </c>
      <c r="C30" t="inlineStr">
        <is>
          <t>South</t>
        </is>
      </c>
      <c r="D30" t="inlineStr">
        <is>
          <t>Ravi Nair</t>
        </is>
      </c>
      <c r="E30" t="inlineStr">
        <is>
          <t>Tablet</t>
        </is>
      </c>
      <c r="F30" t="inlineStr">
        <is>
          <t>Electronics</t>
        </is>
      </c>
      <c r="G30" s="3" t="n">
        <v>9</v>
      </c>
      <c r="H30" s="4" t="n">
        <v>18000</v>
      </c>
      <c r="I30" s="4" t="n">
        <v>162000</v>
      </c>
      <c r="J30" s="4" t="n">
        <v>117367</v>
      </c>
      <c r="K30" s="4" t="n">
        <v>44633</v>
      </c>
    </row>
    <row r="31">
      <c r="A31" t="inlineStr">
        <is>
          <t>ORD-1030</t>
        </is>
      </c>
      <c r="B31" s="2" t="n">
        <v>46001</v>
      </c>
      <c r="C31" t="inlineStr">
        <is>
          <t>South</t>
        </is>
      </c>
      <c r="D31" t="inlineStr">
        <is>
          <t>Divya Menon</t>
        </is>
      </c>
      <c r="E31" t="inlineStr">
        <is>
          <t>Keyboard</t>
        </is>
      </c>
      <c r="F31" t="inlineStr">
        <is>
          <t>Accessories</t>
        </is>
      </c>
      <c r="G31" s="3" t="n">
        <v>5</v>
      </c>
      <c r="H31" s="4" t="n">
        <v>2500</v>
      </c>
      <c r="I31" s="4" t="n">
        <v>12500</v>
      </c>
      <c r="J31" s="4" t="n">
        <v>7872</v>
      </c>
      <c r="K31" s="4" t="n">
        <v>4628</v>
      </c>
    </row>
    <row r="32">
      <c r="A32" t="inlineStr">
        <is>
          <t>ORD-1031</t>
        </is>
      </c>
      <c r="B32" s="2" t="n">
        <v>45773</v>
      </c>
      <c r="C32" t="inlineStr">
        <is>
          <t>West</t>
        </is>
      </c>
      <c r="D32" t="inlineStr">
        <is>
          <t>Vikram Mehta</t>
        </is>
      </c>
      <c r="E32" t="inlineStr">
        <is>
          <t>Headphones</t>
        </is>
      </c>
      <c r="F32" t="inlineStr">
        <is>
          <t>Accessories</t>
        </is>
      </c>
      <c r="G32" s="3" t="n">
        <v>8</v>
      </c>
      <c r="H32" s="4" t="n">
        <v>3500</v>
      </c>
      <c r="I32" s="4" t="n">
        <v>28000</v>
      </c>
      <c r="J32" s="4" t="n">
        <v>16078</v>
      </c>
      <c r="K32" s="4" t="n">
        <v>11922</v>
      </c>
    </row>
    <row r="33">
      <c r="A33" t="inlineStr">
        <is>
          <t>ORD-1032</t>
        </is>
      </c>
      <c r="B33" s="2" t="n">
        <v>45959</v>
      </c>
      <c r="C33" t="inlineStr">
        <is>
          <t>East</t>
        </is>
      </c>
      <c r="D33" t="inlineStr">
        <is>
          <t>Sourav Das</t>
        </is>
      </c>
      <c r="E33" t="inlineStr">
        <is>
          <t>Laptop</t>
        </is>
      </c>
      <c r="F33" t="inlineStr">
        <is>
          <t>Electronics</t>
        </is>
      </c>
      <c r="G33" s="3" t="n">
        <v>10</v>
      </c>
      <c r="H33" s="4" t="n">
        <v>55000</v>
      </c>
      <c r="I33" s="4" t="n">
        <v>550000</v>
      </c>
      <c r="J33" s="4" t="n">
        <v>363431</v>
      </c>
      <c r="K33" s="4" t="n">
        <v>186569</v>
      </c>
    </row>
    <row r="34">
      <c r="A34" t="inlineStr">
        <is>
          <t>ORD-1033</t>
        </is>
      </c>
      <c r="B34" s="2" t="n">
        <v>45775</v>
      </c>
      <c r="C34" t="inlineStr">
        <is>
          <t>North</t>
        </is>
      </c>
      <c r="D34" t="inlineStr">
        <is>
          <t>Amit Sharma</t>
        </is>
      </c>
      <c r="E34" t="inlineStr">
        <is>
          <t>Laptop</t>
        </is>
      </c>
      <c r="F34" t="inlineStr">
        <is>
          <t>Electronics</t>
        </is>
      </c>
      <c r="G34" s="3" t="n">
        <v>12</v>
      </c>
      <c r="H34" s="4" t="n">
        <v>55000</v>
      </c>
      <c r="I34" s="4" t="n">
        <v>660000</v>
      </c>
      <c r="J34" s="4" t="n">
        <v>446306</v>
      </c>
      <c r="K34" s="4" t="n">
        <v>213694</v>
      </c>
    </row>
    <row r="35">
      <c r="A35" t="inlineStr">
        <is>
          <t>ORD-1034</t>
        </is>
      </c>
      <c r="B35" s="2" t="n">
        <v>45800</v>
      </c>
      <c r="C35" t="inlineStr">
        <is>
          <t>North</t>
        </is>
      </c>
      <c r="D35" t="inlineStr">
        <is>
          <t>Priya Verma</t>
        </is>
      </c>
      <c r="E35" t="inlineStr">
        <is>
          <t>Tablet</t>
        </is>
      </c>
      <c r="F35" t="inlineStr">
        <is>
          <t>Electronics</t>
        </is>
      </c>
      <c r="G35" s="3" t="n">
        <v>2</v>
      </c>
      <c r="H35" s="4" t="n">
        <v>18000</v>
      </c>
      <c r="I35" s="4" t="n">
        <v>36000</v>
      </c>
      <c r="J35" s="4" t="n">
        <v>23502</v>
      </c>
      <c r="K35" s="4" t="n">
        <v>12498</v>
      </c>
    </row>
    <row r="36">
      <c r="A36" t="inlineStr">
        <is>
          <t>ORD-1035</t>
        </is>
      </c>
      <c r="B36" s="2" t="n">
        <v>45950</v>
      </c>
      <c r="C36" t="inlineStr">
        <is>
          <t>South</t>
        </is>
      </c>
      <c r="D36" t="inlineStr">
        <is>
          <t>Divya Menon</t>
        </is>
      </c>
      <c r="E36" t="inlineStr">
        <is>
          <t>Headphones</t>
        </is>
      </c>
      <c r="F36" t="inlineStr">
        <is>
          <t>Accessories</t>
        </is>
      </c>
      <c r="G36" s="3" t="n">
        <v>3</v>
      </c>
      <c r="H36" s="4" t="n">
        <v>3500</v>
      </c>
      <c r="I36" s="4" t="n">
        <v>10500</v>
      </c>
      <c r="J36" s="4" t="n">
        <v>7294</v>
      </c>
      <c r="K36" s="4" t="n">
        <v>3206</v>
      </c>
    </row>
    <row r="37">
      <c r="A37" t="inlineStr">
        <is>
          <t>ORD-1036</t>
        </is>
      </c>
      <c r="B37" s="2" t="n">
        <v>45707</v>
      </c>
      <c r="C37" t="inlineStr">
        <is>
          <t>South</t>
        </is>
      </c>
      <c r="D37" t="inlineStr">
        <is>
          <t>Divya Menon</t>
        </is>
      </c>
      <c r="E37" t="inlineStr">
        <is>
          <t>Monitor</t>
        </is>
      </c>
      <c r="F37" t="inlineStr">
        <is>
          <t>Electronics</t>
        </is>
      </c>
      <c r="G37" s="3" t="n">
        <v>7</v>
      </c>
      <c r="H37" s="4" t="n">
        <v>14000</v>
      </c>
      <c r="I37" s="4" t="n">
        <v>98000</v>
      </c>
      <c r="J37" s="4" t="n">
        <v>57632</v>
      </c>
      <c r="K37" s="4" t="n">
        <v>40368</v>
      </c>
    </row>
    <row r="38">
      <c r="A38" t="inlineStr">
        <is>
          <t>ORD-1037</t>
        </is>
      </c>
      <c r="B38" s="2" t="n">
        <v>45685</v>
      </c>
      <c r="C38" t="inlineStr">
        <is>
          <t>East</t>
        </is>
      </c>
      <c r="D38" t="inlineStr">
        <is>
          <t>Sourav Das</t>
        </is>
      </c>
      <c r="E38" t="inlineStr">
        <is>
          <t>Monitor</t>
        </is>
      </c>
      <c r="F38" t="inlineStr">
        <is>
          <t>Electronics</t>
        </is>
      </c>
      <c r="G38" s="3" t="n">
        <v>7</v>
      </c>
      <c r="H38" s="4" t="n">
        <v>14000</v>
      </c>
      <c r="I38" s="4" t="n">
        <v>98000</v>
      </c>
      <c r="J38" s="4" t="n">
        <v>63054</v>
      </c>
      <c r="K38" s="4" t="n">
        <v>34946</v>
      </c>
    </row>
    <row r="39">
      <c r="A39" t="inlineStr">
        <is>
          <t>ORD-1038</t>
        </is>
      </c>
      <c r="B39" s="2" t="n">
        <v>45713</v>
      </c>
      <c r="C39" t="inlineStr">
        <is>
          <t>North</t>
        </is>
      </c>
      <c r="D39" t="inlineStr">
        <is>
          <t>Amit Sharma</t>
        </is>
      </c>
      <c r="E39" t="inlineStr">
        <is>
          <t>Monitor</t>
        </is>
      </c>
      <c r="F39" t="inlineStr">
        <is>
          <t>Electronics</t>
        </is>
      </c>
      <c r="G39" s="3" t="n">
        <v>12</v>
      </c>
      <c r="H39" s="4" t="n">
        <v>14000</v>
      </c>
      <c r="I39" s="4" t="n">
        <v>168000</v>
      </c>
      <c r="J39" s="4" t="n">
        <v>103801</v>
      </c>
      <c r="K39" s="4" t="n">
        <v>64199</v>
      </c>
    </row>
    <row r="40">
      <c r="A40" t="inlineStr">
        <is>
          <t>ORD-1039</t>
        </is>
      </c>
      <c r="B40" s="2" t="n">
        <v>45874</v>
      </c>
      <c r="C40" t="inlineStr">
        <is>
          <t>South</t>
        </is>
      </c>
      <c r="D40" t="inlineStr">
        <is>
          <t>Ravi Nair</t>
        </is>
      </c>
      <c r="E40" t="inlineStr">
        <is>
          <t>Smartphone</t>
        </is>
      </c>
      <c r="F40" t="inlineStr">
        <is>
          <t>Electronics</t>
        </is>
      </c>
      <c r="G40" s="3" t="n">
        <v>9</v>
      </c>
      <c r="H40" s="4" t="n">
        <v>22000</v>
      </c>
      <c r="I40" s="4" t="n">
        <v>198000</v>
      </c>
      <c r="J40" s="4" t="n">
        <v>126665</v>
      </c>
      <c r="K40" s="4" t="n">
        <v>71335</v>
      </c>
    </row>
    <row r="41">
      <c r="A41" t="inlineStr">
        <is>
          <t>ORD-1040</t>
        </is>
      </c>
      <c r="B41" s="2" t="n">
        <v>45696</v>
      </c>
      <c r="C41" t="inlineStr">
        <is>
          <t>East</t>
        </is>
      </c>
      <c r="D41" t="inlineStr">
        <is>
          <t>Anita Roy</t>
        </is>
      </c>
      <c r="E41" t="inlineStr">
        <is>
          <t>Monitor</t>
        </is>
      </c>
      <c r="F41" t="inlineStr">
        <is>
          <t>Electronics</t>
        </is>
      </c>
      <c r="G41" s="3" t="n">
        <v>4</v>
      </c>
      <c r="H41" s="4" t="n">
        <v>14000</v>
      </c>
      <c r="I41" s="4" t="n">
        <v>56000</v>
      </c>
      <c r="J41" s="4" t="n">
        <v>40594</v>
      </c>
      <c r="K41" s="4" t="n">
        <v>15406</v>
      </c>
    </row>
    <row r="42">
      <c r="A42" t="inlineStr">
        <is>
          <t>ORD-1041</t>
        </is>
      </c>
      <c r="B42" s="2" t="n">
        <v>45665</v>
      </c>
      <c r="C42" t="inlineStr">
        <is>
          <t>North</t>
        </is>
      </c>
      <c r="D42" t="inlineStr">
        <is>
          <t>Amit Sharma</t>
        </is>
      </c>
      <c r="E42" t="inlineStr">
        <is>
          <t>Laptop</t>
        </is>
      </c>
      <c r="F42" t="inlineStr">
        <is>
          <t>Electronics</t>
        </is>
      </c>
      <c r="G42" s="3" t="n">
        <v>11</v>
      </c>
      <c r="H42" s="4" t="n">
        <v>55000</v>
      </c>
      <c r="I42" s="4" t="n">
        <v>605000</v>
      </c>
      <c r="J42" s="4" t="n">
        <v>453663</v>
      </c>
      <c r="K42" s="4" t="n">
        <v>151337</v>
      </c>
    </row>
    <row r="43">
      <c r="A43" t="inlineStr">
        <is>
          <t>ORD-1042</t>
        </is>
      </c>
      <c r="B43" s="2" t="n">
        <v>45767</v>
      </c>
      <c r="C43" t="inlineStr">
        <is>
          <t>South</t>
        </is>
      </c>
      <c r="D43" t="inlineStr">
        <is>
          <t>Divya Menon</t>
        </is>
      </c>
      <c r="E43" t="inlineStr">
        <is>
          <t>Smartphone</t>
        </is>
      </c>
      <c r="F43" t="inlineStr">
        <is>
          <t>Electronics</t>
        </is>
      </c>
      <c r="G43" s="3" t="n">
        <v>7</v>
      </c>
      <c r="H43" s="4" t="n">
        <v>22000</v>
      </c>
      <c r="I43" s="4" t="n">
        <v>154000</v>
      </c>
      <c r="J43" s="4" t="n">
        <v>99658</v>
      </c>
      <c r="K43" s="4" t="n">
        <v>54342</v>
      </c>
    </row>
    <row r="44">
      <c r="A44" t="inlineStr">
        <is>
          <t>ORD-1043</t>
        </is>
      </c>
      <c r="B44" s="2" t="n">
        <v>45857</v>
      </c>
      <c r="C44" t="inlineStr">
        <is>
          <t>North</t>
        </is>
      </c>
      <c r="D44" t="inlineStr">
        <is>
          <t>Priya Verma</t>
        </is>
      </c>
      <c r="E44" t="inlineStr">
        <is>
          <t>Smartphone</t>
        </is>
      </c>
      <c r="F44" t="inlineStr">
        <is>
          <t>Electronics</t>
        </is>
      </c>
      <c r="G44" s="3" t="n">
        <v>7</v>
      </c>
      <c r="H44" s="4" t="n">
        <v>22000</v>
      </c>
      <c r="I44" s="4" t="n">
        <v>154000</v>
      </c>
      <c r="J44" s="4" t="n">
        <v>84766</v>
      </c>
      <c r="K44" s="4" t="n">
        <v>69234</v>
      </c>
    </row>
    <row r="45">
      <c r="A45" t="inlineStr">
        <is>
          <t>ORD-1044</t>
        </is>
      </c>
      <c r="B45" s="2" t="n">
        <v>45942</v>
      </c>
      <c r="C45" t="inlineStr">
        <is>
          <t>West</t>
        </is>
      </c>
      <c r="D45" t="inlineStr">
        <is>
          <t>Kavita Patil</t>
        </is>
      </c>
      <c r="E45" t="inlineStr">
        <is>
          <t>Tablet</t>
        </is>
      </c>
      <c r="F45" t="inlineStr">
        <is>
          <t>Electronics</t>
        </is>
      </c>
      <c r="G45" s="3" t="n">
        <v>7</v>
      </c>
      <c r="H45" s="4" t="n">
        <v>18000</v>
      </c>
      <c r="I45" s="4" t="n">
        <v>126000</v>
      </c>
      <c r="J45" s="4" t="n">
        <v>86854</v>
      </c>
      <c r="K45" s="4" t="n">
        <v>39146</v>
      </c>
    </row>
    <row r="46">
      <c r="A46" t="inlineStr">
        <is>
          <t>ORD-1045</t>
        </is>
      </c>
      <c r="B46" s="2" t="n">
        <v>45687</v>
      </c>
      <c r="C46" t="inlineStr">
        <is>
          <t>South</t>
        </is>
      </c>
      <c r="D46" t="inlineStr">
        <is>
          <t>Ravi Nair</t>
        </is>
      </c>
      <c r="E46" t="inlineStr">
        <is>
          <t>Smartphone</t>
        </is>
      </c>
      <c r="F46" t="inlineStr">
        <is>
          <t>Electronics</t>
        </is>
      </c>
      <c r="G46" s="3" t="n">
        <v>5</v>
      </c>
      <c r="H46" s="4" t="n">
        <v>22000</v>
      </c>
      <c r="I46" s="4" t="n">
        <v>110000</v>
      </c>
      <c r="J46" s="4" t="n">
        <v>65289</v>
      </c>
      <c r="K46" s="4" t="n">
        <v>44711</v>
      </c>
    </row>
    <row r="47">
      <c r="A47" t="inlineStr">
        <is>
          <t>ORD-1046</t>
        </is>
      </c>
      <c r="B47" s="2" t="n">
        <v>45915</v>
      </c>
      <c r="C47" t="inlineStr">
        <is>
          <t>East</t>
        </is>
      </c>
      <c r="D47" t="inlineStr">
        <is>
          <t>Sourav Das</t>
        </is>
      </c>
      <c r="E47" t="inlineStr">
        <is>
          <t>Laptop</t>
        </is>
      </c>
      <c r="F47" t="inlineStr">
        <is>
          <t>Electronics</t>
        </is>
      </c>
      <c r="G47" s="3" t="n">
        <v>1</v>
      </c>
      <c r="H47" s="4" t="n">
        <v>55000</v>
      </c>
      <c r="I47" s="4" t="n">
        <v>55000</v>
      </c>
      <c r="J47" s="4" t="n">
        <v>36676</v>
      </c>
      <c r="K47" s="4" t="n">
        <v>18324</v>
      </c>
    </row>
    <row r="48">
      <c r="A48" t="inlineStr">
        <is>
          <t>ORD-1047</t>
        </is>
      </c>
      <c r="B48" s="2" t="n">
        <v>45693</v>
      </c>
      <c r="C48" t="inlineStr">
        <is>
          <t>North</t>
        </is>
      </c>
      <c r="D48" t="inlineStr">
        <is>
          <t>Amit Sharma</t>
        </is>
      </c>
      <c r="E48" t="inlineStr">
        <is>
          <t>Headphones</t>
        </is>
      </c>
      <c r="F48" t="inlineStr">
        <is>
          <t>Accessories</t>
        </is>
      </c>
      <c r="G48" s="3" t="n">
        <v>2</v>
      </c>
      <c r="H48" s="4" t="n">
        <v>3500</v>
      </c>
      <c r="I48" s="4" t="n">
        <v>7000</v>
      </c>
      <c r="J48" s="4" t="n">
        <v>5042</v>
      </c>
      <c r="K48" s="4" t="n">
        <v>1958</v>
      </c>
    </row>
    <row r="49">
      <c r="A49" t="inlineStr">
        <is>
          <t>ORD-1048</t>
        </is>
      </c>
      <c r="B49" s="2" t="n">
        <v>45949</v>
      </c>
      <c r="C49" t="inlineStr">
        <is>
          <t>South</t>
        </is>
      </c>
      <c r="D49" t="inlineStr">
        <is>
          <t>Ravi Nair</t>
        </is>
      </c>
      <c r="E49" t="inlineStr">
        <is>
          <t>Monitor</t>
        </is>
      </c>
      <c r="F49" t="inlineStr">
        <is>
          <t>Electronics</t>
        </is>
      </c>
      <c r="G49" s="3" t="n">
        <v>2</v>
      </c>
      <c r="H49" s="4" t="n">
        <v>14000</v>
      </c>
      <c r="I49" s="4" t="n">
        <v>28000</v>
      </c>
      <c r="J49" s="4" t="n">
        <v>20673</v>
      </c>
      <c r="K49" s="4" t="n">
        <v>7327</v>
      </c>
    </row>
    <row r="50">
      <c r="A50" t="inlineStr">
        <is>
          <t>ORD-1049</t>
        </is>
      </c>
      <c r="B50" s="2" t="n">
        <v>45956</v>
      </c>
      <c r="C50" t="inlineStr">
        <is>
          <t>North</t>
        </is>
      </c>
      <c r="D50" t="inlineStr">
        <is>
          <t>Priya Verma</t>
        </is>
      </c>
      <c r="E50" t="inlineStr">
        <is>
          <t>Headphones</t>
        </is>
      </c>
      <c r="F50" t="inlineStr">
        <is>
          <t>Accessories</t>
        </is>
      </c>
      <c r="G50" s="3" t="n">
        <v>2</v>
      </c>
      <c r="H50" s="4" t="n">
        <v>3500</v>
      </c>
      <c r="I50" s="4" t="n">
        <v>7000</v>
      </c>
      <c r="J50" s="4" t="n">
        <v>4437</v>
      </c>
      <c r="K50" s="4" t="n">
        <v>2563</v>
      </c>
    </row>
    <row r="51">
      <c r="A51" t="inlineStr">
        <is>
          <t>ORD-1050</t>
        </is>
      </c>
      <c r="B51" s="2" t="n">
        <v>45780</v>
      </c>
      <c r="C51" t="inlineStr">
        <is>
          <t>East</t>
        </is>
      </c>
      <c r="D51" t="inlineStr">
        <is>
          <t>Anita Roy</t>
        </is>
      </c>
      <c r="E51" t="inlineStr">
        <is>
          <t>Smartphone</t>
        </is>
      </c>
      <c r="F51" t="inlineStr">
        <is>
          <t>Electronics</t>
        </is>
      </c>
      <c r="G51" s="3" t="n">
        <v>11</v>
      </c>
      <c r="H51" s="4" t="n">
        <v>22000</v>
      </c>
      <c r="I51" s="4" t="n">
        <v>242000</v>
      </c>
      <c r="J51" s="4" t="n">
        <v>167764</v>
      </c>
      <c r="K51" s="4" t="n">
        <v>74236</v>
      </c>
    </row>
    <row r="52">
      <c r="A52" t="inlineStr">
        <is>
          <t>ORD-1051</t>
        </is>
      </c>
      <c r="B52" s="2" t="n">
        <v>45892</v>
      </c>
      <c r="C52" t="inlineStr">
        <is>
          <t>West</t>
        </is>
      </c>
      <c r="D52" t="inlineStr">
        <is>
          <t>Kavita Patil</t>
        </is>
      </c>
      <c r="E52" t="inlineStr">
        <is>
          <t>Smartphone</t>
        </is>
      </c>
      <c r="F52" t="inlineStr">
        <is>
          <t>Electronics</t>
        </is>
      </c>
      <c r="G52" s="3" t="n">
        <v>11</v>
      </c>
      <c r="H52" s="4" t="n">
        <v>22000</v>
      </c>
      <c r="I52" s="4" t="n">
        <v>242000</v>
      </c>
      <c r="J52" s="4" t="n">
        <v>164342</v>
      </c>
      <c r="K52" s="4" t="n">
        <v>77658</v>
      </c>
    </row>
    <row r="53">
      <c r="A53" t="inlineStr">
        <is>
          <t>ORD-1052</t>
        </is>
      </c>
      <c r="B53" s="2" t="n">
        <v>45946</v>
      </c>
      <c r="C53" t="inlineStr">
        <is>
          <t>North</t>
        </is>
      </c>
      <c r="D53" t="inlineStr">
        <is>
          <t>Amit Sharma</t>
        </is>
      </c>
      <c r="E53" t="inlineStr">
        <is>
          <t>Laptop</t>
        </is>
      </c>
      <c r="F53" t="inlineStr">
        <is>
          <t>Electronics</t>
        </is>
      </c>
      <c r="G53" s="3" t="n">
        <v>8</v>
      </c>
      <c r="H53" s="4" t="n">
        <v>55000</v>
      </c>
      <c r="I53" s="4" t="n">
        <v>440000</v>
      </c>
      <c r="J53" s="4" t="n">
        <v>296662</v>
      </c>
      <c r="K53" s="4" t="n">
        <v>143338</v>
      </c>
    </row>
    <row r="54">
      <c r="A54" t="inlineStr">
        <is>
          <t>ORD-1053</t>
        </is>
      </c>
      <c r="B54" s="2" t="n">
        <v>45725</v>
      </c>
      <c r="C54" t="inlineStr">
        <is>
          <t>North</t>
        </is>
      </c>
      <c r="D54" t="inlineStr">
        <is>
          <t>Priya Verma</t>
        </is>
      </c>
      <c r="E54" t="inlineStr">
        <is>
          <t>Headphones</t>
        </is>
      </c>
      <c r="F54" t="inlineStr">
        <is>
          <t>Accessories</t>
        </is>
      </c>
      <c r="G54" s="3" t="n">
        <v>4</v>
      </c>
      <c r="H54" s="4" t="n">
        <v>3500</v>
      </c>
      <c r="I54" s="4" t="n">
        <v>14000</v>
      </c>
      <c r="J54" s="4" t="n">
        <v>9116</v>
      </c>
      <c r="K54" s="4" t="n">
        <v>4884</v>
      </c>
    </row>
    <row r="55">
      <c r="A55" t="inlineStr">
        <is>
          <t>ORD-1054</t>
        </is>
      </c>
      <c r="B55" s="2" t="n">
        <v>45882</v>
      </c>
      <c r="C55" t="inlineStr">
        <is>
          <t>North</t>
        </is>
      </c>
      <c r="D55" t="inlineStr">
        <is>
          <t>Priya Verma</t>
        </is>
      </c>
      <c r="E55" t="inlineStr">
        <is>
          <t>Smartphone</t>
        </is>
      </c>
      <c r="F55" t="inlineStr">
        <is>
          <t>Electronics</t>
        </is>
      </c>
      <c r="G55" s="3" t="n">
        <v>6</v>
      </c>
      <c r="H55" s="4" t="n">
        <v>22000</v>
      </c>
      <c r="I55" s="4" t="n">
        <v>132000</v>
      </c>
      <c r="J55" s="4" t="n">
        <v>80124</v>
      </c>
      <c r="K55" s="4" t="n">
        <v>51876</v>
      </c>
    </row>
    <row r="56">
      <c r="A56" t="inlineStr">
        <is>
          <t>ORD-1055</t>
        </is>
      </c>
      <c r="B56" s="2" t="n">
        <v>45997</v>
      </c>
      <c r="C56" t="inlineStr">
        <is>
          <t>North</t>
        </is>
      </c>
      <c r="D56" t="inlineStr">
        <is>
          <t>Amit Sharma</t>
        </is>
      </c>
      <c r="E56" t="inlineStr">
        <is>
          <t>Keyboard</t>
        </is>
      </c>
      <c r="F56" t="inlineStr">
        <is>
          <t>Accessories</t>
        </is>
      </c>
      <c r="G56" s="3" t="n">
        <v>9</v>
      </c>
      <c r="H56" s="4" t="n">
        <v>2500</v>
      </c>
      <c r="I56" s="4" t="n">
        <v>22500</v>
      </c>
      <c r="J56" s="4" t="n">
        <v>13722</v>
      </c>
      <c r="K56" s="4" t="n">
        <v>8778</v>
      </c>
    </row>
    <row r="57">
      <c r="A57" t="inlineStr">
        <is>
          <t>ORD-1056</t>
        </is>
      </c>
      <c r="B57" s="2" t="n">
        <v>45941</v>
      </c>
      <c r="C57" t="inlineStr">
        <is>
          <t>South</t>
        </is>
      </c>
      <c r="D57" t="inlineStr">
        <is>
          <t>Ravi Nair</t>
        </is>
      </c>
      <c r="E57" t="inlineStr">
        <is>
          <t>Tablet</t>
        </is>
      </c>
      <c r="F57" t="inlineStr">
        <is>
          <t>Electronics</t>
        </is>
      </c>
      <c r="G57" s="3" t="n">
        <v>2</v>
      </c>
      <c r="H57" s="4" t="n">
        <v>18000</v>
      </c>
      <c r="I57" s="4" t="n">
        <v>36000</v>
      </c>
      <c r="J57" s="4" t="n">
        <v>26206</v>
      </c>
      <c r="K57" s="4" t="n">
        <v>9794</v>
      </c>
    </row>
    <row r="58">
      <c r="A58" t="inlineStr">
        <is>
          <t>ORD-1057</t>
        </is>
      </c>
      <c r="B58" s="2" t="n">
        <v>45833</v>
      </c>
      <c r="C58" t="inlineStr">
        <is>
          <t>East</t>
        </is>
      </c>
      <c r="D58" t="inlineStr">
        <is>
          <t>Sourav Das</t>
        </is>
      </c>
      <c r="E58" t="inlineStr">
        <is>
          <t>Tablet</t>
        </is>
      </c>
      <c r="F58" t="inlineStr">
        <is>
          <t>Electronics</t>
        </is>
      </c>
      <c r="G58" s="3" t="n">
        <v>10</v>
      </c>
      <c r="H58" s="4" t="n">
        <v>18000</v>
      </c>
      <c r="I58" s="4" t="n">
        <v>180000</v>
      </c>
      <c r="J58" s="4" t="n">
        <v>106583</v>
      </c>
      <c r="K58" s="4" t="n">
        <v>73417</v>
      </c>
    </row>
    <row r="59">
      <c r="A59" t="inlineStr">
        <is>
          <t>ORD-1058</t>
        </is>
      </c>
      <c r="B59" s="2" t="n">
        <v>45684</v>
      </c>
      <c r="C59" t="inlineStr">
        <is>
          <t>East</t>
        </is>
      </c>
      <c r="D59" t="inlineStr">
        <is>
          <t>Sourav Das</t>
        </is>
      </c>
      <c r="E59" t="inlineStr">
        <is>
          <t>Headphones</t>
        </is>
      </c>
      <c r="F59" t="inlineStr">
        <is>
          <t>Accessories</t>
        </is>
      </c>
      <c r="G59" s="3" t="n">
        <v>8</v>
      </c>
      <c r="H59" s="4" t="n">
        <v>3500</v>
      </c>
      <c r="I59" s="4" t="n">
        <v>28000</v>
      </c>
      <c r="J59" s="4" t="n">
        <v>16806</v>
      </c>
      <c r="K59" s="4" t="n">
        <v>11194</v>
      </c>
    </row>
    <row r="60">
      <c r="A60" t="inlineStr">
        <is>
          <t>ORD-1059</t>
        </is>
      </c>
      <c r="B60" s="2" t="n">
        <v>45724</v>
      </c>
      <c r="C60" t="inlineStr">
        <is>
          <t>West</t>
        </is>
      </c>
      <c r="D60" t="inlineStr">
        <is>
          <t>Kavita Patil</t>
        </is>
      </c>
      <c r="E60" t="inlineStr">
        <is>
          <t>Tablet</t>
        </is>
      </c>
      <c r="F60" t="inlineStr">
        <is>
          <t>Electronics</t>
        </is>
      </c>
      <c r="G60" s="3" t="n">
        <v>1</v>
      </c>
      <c r="H60" s="4" t="n">
        <v>18000</v>
      </c>
      <c r="I60" s="4" t="n">
        <v>18000</v>
      </c>
      <c r="J60" s="4" t="n">
        <v>9913</v>
      </c>
      <c r="K60" s="4" t="n">
        <v>8087</v>
      </c>
    </row>
    <row r="61">
      <c r="A61" t="inlineStr">
        <is>
          <t>ORD-1060</t>
        </is>
      </c>
      <c r="B61" s="2" t="n">
        <v>45876</v>
      </c>
      <c r="C61" t="inlineStr">
        <is>
          <t>South</t>
        </is>
      </c>
      <c r="D61" t="inlineStr">
        <is>
          <t>Ravi Nair</t>
        </is>
      </c>
      <c r="E61" t="inlineStr">
        <is>
          <t>Keyboard</t>
        </is>
      </c>
      <c r="F61" t="inlineStr">
        <is>
          <t>Accessories</t>
        </is>
      </c>
      <c r="G61" s="3" t="n">
        <v>8</v>
      </c>
      <c r="H61" s="4" t="n">
        <v>2500</v>
      </c>
      <c r="I61" s="4" t="n">
        <v>20000</v>
      </c>
      <c r="J61" s="4" t="n">
        <v>13207</v>
      </c>
      <c r="K61" s="4" t="n">
        <v>6793</v>
      </c>
    </row>
    <row r="62">
      <c r="A62" t="inlineStr">
        <is>
          <t>ORD-1061</t>
        </is>
      </c>
      <c r="B62" s="2" t="n">
        <v>45937</v>
      </c>
      <c r="C62" t="inlineStr">
        <is>
          <t>North</t>
        </is>
      </c>
      <c r="D62" t="inlineStr">
        <is>
          <t>Amit Sharma</t>
        </is>
      </c>
      <c r="E62" t="inlineStr">
        <is>
          <t>Laptop</t>
        </is>
      </c>
      <c r="F62" t="inlineStr">
        <is>
          <t>Electronics</t>
        </is>
      </c>
      <c r="G62" s="3" t="n">
        <v>12</v>
      </c>
      <c r="H62" s="4" t="n">
        <v>55000</v>
      </c>
      <c r="I62" s="4" t="n">
        <v>660000</v>
      </c>
      <c r="J62" s="4" t="n">
        <v>482319</v>
      </c>
      <c r="K62" s="4" t="n">
        <v>177681</v>
      </c>
    </row>
    <row r="63">
      <c r="A63" t="inlineStr">
        <is>
          <t>ORD-1062</t>
        </is>
      </c>
      <c r="B63" s="2" t="n">
        <v>45723</v>
      </c>
      <c r="C63" t="inlineStr">
        <is>
          <t>East</t>
        </is>
      </c>
      <c r="D63" t="inlineStr">
        <is>
          <t>Sourav Das</t>
        </is>
      </c>
      <c r="E63" t="inlineStr">
        <is>
          <t>Headphones</t>
        </is>
      </c>
      <c r="F63" t="inlineStr">
        <is>
          <t>Accessories</t>
        </is>
      </c>
      <c r="G63" s="3" t="n">
        <v>9</v>
      </c>
      <c r="H63" s="4" t="n">
        <v>3500</v>
      </c>
      <c r="I63" s="4" t="n">
        <v>31500</v>
      </c>
      <c r="J63" s="4" t="n">
        <v>18258</v>
      </c>
      <c r="K63" s="4" t="n">
        <v>13242</v>
      </c>
    </row>
    <row r="64">
      <c r="A64" t="inlineStr">
        <is>
          <t>ORD-1063</t>
        </is>
      </c>
      <c r="B64" s="2" t="n">
        <v>45765</v>
      </c>
      <c r="C64" t="inlineStr">
        <is>
          <t>East</t>
        </is>
      </c>
      <c r="D64" t="inlineStr">
        <is>
          <t>Sourav Das</t>
        </is>
      </c>
      <c r="E64" t="inlineStr">
        <is>
          <t>Tablet</t>
        </is>
      </c>
      <c r="F64" t="inlineStr">
        <is>
          <t>Electronics</t>
        </is>
      </c>
      <c r="G64" s="3" t="n">
        <v>1</v>
      </c>
      <c r="H64" s="4" t="n">
        <v>18000</v>
      </c>
      <c r="I64" s="4" t="n">
        <v>18000</v>
      </c>
      <c r="J64" s="4" t="n">
        <v>13136</v>
      </c>
      <c r="K64" s="4" t="n">
        <v>4864</v>
      </c>
    </row>
    <row r="65">
      <c r="A65" t="inlineStr">
        <is>
          <t>ORD-1064</t>
        </is>
      </c>
      <c r="B65" s="2" t="n">
        <v>45866</v>
      </c>
      <c r="C65" t="inlineStr">
        <is>
          <t>North</t>
        </is>
      </c>
      <c r="D65" t="inlineStr">
        <is>
          <t>Amit Sharma</t>
        </is>
      </c>
      <c r="E65" t="inlineStr">
        <is>
          <t>Tablet</t>
        </is>
      </c>
      <c r="F65" t="inlineStr">
        <is>
          <t>Electronics</t>
        </is>
      </c>
      <c r="G65" s="3" t="n">
        <v>9</v>
      </c>
      <c r="H65" s="4" t="n">
        <v>18000</v>
      </c>
      <c r="I65" s="4" t="n">
        <v>162000</v>
      </c>
      <c r="J65" s="4" t="n">
        <v>117746</v>
      </c>
      <c r="K65" s="4" t="n">
        <v>44254</v>
      </c>
    </row>
    <row r="66">
      <c r="A66" t="inlineStr">
        <is>
          <t>ORD-1065</t>
        </is>
      </c>
      <c r="B66" s="2" t="n">
        <v>45670</v>
      </c>
      <c r="C66" t="inlineStr">
        <is>
          <t>South</t>
        </is>
      </c>
      <c r="D66" t="inlineStr">
        <is>
          <t>Ravi Nair</t>
        </is>
      </c>
      <c r="E66" t="inlineStr">
        <is>
          <t>Smartphone</t>
        </is>
      </c>
      <c r="F66" t="inlineStr">
        <is>
          <t>Electronics</t>
        </is>
      </c>
      <c r="G66" s="3" t="n">
        <v>3</v>
      </c>
      <c r="H66" s="4" t="n">
        <v>22000</v>
      </c>
      <c r="I66" s="4" t="n">
        <v>66000</v>
      </c>
      <c r="J66" s="4" t="n">
        <v>47935</v>
      </c>
      <c r="K66" s="4" t="n">
        <v>18065</v>
      </c>
    </row>
    <row r="67">
      <c r="A67" t="inlineStr">
        <is>
          <t>ORD-1066</t>
        </is>
      </c>
      <c r="B67" s="2" t="n">
        <v>45785</v>
      </c>
      <c r="C67" t="inlineStr">
        <is>
          <t>East</t>
        </is>
      </c>
      <c r="D67" t="inlineStr">
        <is>
          <t>Anita Roy</t>
        </is>
      </c>
      <c r="E67" t="inlineStr">
        <is>
          <t>Monitor</t>
        </is>
      </c>
      <c r="F67" t="inlineStr">
        <is>
          <t>Electronics</t>
        </is>
      </c>
      <c r="G67" s="3" t="n">
        <v>11</v>
      </c>
      <c r="H67" s="4" t="n">
        <v>14000</v>
      </c>
      <c r="I67" s="4" t="n">
        <v>154000</v>
      </c>
      <c r="J67" s="4" t="n">
        <v>111313</v>
      </c>
      <c r="K67" s="4" t="n">
        <v>42687</v>
      </c>
    </row>
    <row r="68">
      <c r="A68" t="inlineStr">
        <is>
          <t>ORD-1067</t>
        </is>
      </c>
      <c r="B68" s="2" t="n">
        <v>45677</v>
      </c>
      <c r="C68" t="inlineStr">
        <is>
          <t>South</t>
        </is>
      </c>
      <c r="D68" t="inlineStr">
        <is>
          <t>Divya Menon</t>
        </is>
      </c>
      <c r="E68" t="inlineStr">
        <is>
          <t>Keyboard</t>
        </is>
      </c>
      <c r="F68" t="inlineStr">
        <is>
          <t>Accessories</t>
        </is>
      </c>
      <c r="G68" s="3" t="n">
        <v>2</v>
      </c>
      <c r="H68" s="4" t="n">
        <v>2500</v>
      </c>
      <c r="I68" s="4" t="n">
        <v>5000</v>
      </c>
      <c r="J68" s="4" t="n">
        <v>3133</v>
      </c>
      <c r="K68" s="4" t="n">
        <v>1867</v>
      </c>
    </row>
    <row r="69">
      <c r="A69" t="inlineStr">
        <is>
          <t>ORD-1068</t>
        </is>
      </c>
      <c r="B69" s="2" t="n">
        <v>45774</v>
      </c>
      <c r="C69" t="inlineStr">
        <is>
          <t>South</t>
        </is>
      </c>
      <c r="D69" t="inlineStr">
        <is>
          <t>Ravi Nair</t>
        </is>
      </c>
      <c r="E69" t="inlineStr">
        <is>
          <t>Smartphone</t>
        </is>
      </c>
      <c r="F69" t="inlineStr">
        <is>
          <t>Electronics</t>
        </is>
      </c>
      <c r="G69" s="3" t="n">
        <v>8</v>
      </c>
      <c r="H69" s="4" t="n">
        <v>22000</v>
      </c>
      <c r="I69" s="4" t="n">
        <v>176000</v>
      </c>
      <c r="J69" s="4" t="n">
        <v>109108</v>
      </c>
      <c r="K69" s="4" t="n">
        <v>66892</v>
      </c>
    </row>
    <row r="70">
      <c r="A70" t="inlineStr">
        <is>
          <t>ORD-1069</t>
        </is>
      </c>
      <c r="B70" s="2" t="n">
        <v>45800</v>
      </c>
      <c r="C70" t="inlineStr">
        <is>
          <t>North</t>
        </is>
      </c>
      <c r="D70" t="inlineStr">
        <is>
          <t>Amit Sharma</t>
        </is>
      </c>
      <c r="E70" t="inlineStr">
        <is>
          <t>Keyboard</t>
        </is>
      </c>
      <c r="F70" t="inlineStr">
        <is>
          <t>Accessories</t>
        </is>
      </c>
      <c r="G70" s="3" t="n">
        <v>4</v>
      </c>
      <c r="H70" s="4" t="n">
        <v>2500</v>
      </c>
      <c r="I70" s="4" t="n">
        <v>10000</v>
      </c>
      <c r="J70" s="4" t="n">
        <v>6297</v>
      </c>
      <c r="K70" s="4" t="n">
        <v>3703</v>
      </c>
    </row>
    <row r="71">
      <c r="A71" t="inlineStr">
        <is>
          <t>ORD-1070</t>
        </is>
      </c>
      <c r="B71" s="2" t="n">
        <v>46005</v>
      </c>
      <c r="C71" t="inlineStr">
        <is>
          <t>East</t>
        </is>
      </c>
      <c r="D71" t="inlineStr">
        <is>
          <t>Anita Roy</t>
        </is>
      </c>
      <c r="E71" t="inlineStr">
        <is>
          <t>Tablet</t>
        </is>
      </c>
      <c r="F71" t="inlineStr">
        <is>
          <t>Electronics</t>
        </is>
      </c>
      <c r="G71" s="3" t="n">
        <v>11</v>
      </c>
      <c r="H71" s="4" t="n">
        <v>18000</v>
      </c>
      <c r="I71" s="4" t="n">
        <v>198000</v>
      </c>
      <c r="J71" s="4" t="n">
        <v>129072</v>
      </c>
      <c r="K71" s="4" t="n">
        <v>68928</v>
      </c>
    </row>
    <row r="72">
      <c r="A72" t="inlineStr">
        <is>
          <t>ORD-1071</t>
        </is>
      </c>
      <c r="B72" s="2" t="n">
        <v>45793</v>
      </c>
      <c r="C72" t="inlineStr">
        <is>
          <t>North</t>
        </is>
      </c>
      <c r="D72" t="inlineStr">
        <is>
          <t>Amit Sharma</t>
        </is>
      </c>
      <c r="E72" t="inlineStr">
        <is>
          <t>Laptop</t>
        </is>
      </c>
      <c r="F72" t="inlineStr">
        <is>
          <t>Electronics</t>
        </is>
      </c>
      <c r="G72" s="3" t="n">
        <v>5</v>
      </c>
      <c r="H72" s="4" t="n">
        <v>55000</v>
      </c>
      <c r="I72" s="4" t="n">
        <v>275000</v>
      </c>
      <c r="J72" s="4" t="n">
        <v>161071</v>
      </c>
      <c r="K72" s="4" t="n">
        <v>113929</v>
      </c>
    </row>
    <row r="73">
      <c r="A73" t="inlineStr">
        <is>
          <t>ORD-1072</t>
        </is>
      </c>
      <c r="B73" s="2" t="n">
        <v>45818</v>
      </c>
      <c r="C73" t="inlineStr">
        <is>
          <t>North</t>
        </is>
      </c>
      <c r="D73" t="inlineStr">
        <is>
          <t>Priya Verma</t>
        </is>
      </c>
      <c r="E73" t="inlineStr">
        <is>
          <t>Headphones</t>
        </is>
      </c>
      <c r="F73" t="inlineStr">
        <is>
          <t>Accessories</t>
        </is>
      </c>
      <c r="G73" s="3" t="n">
        <v>7</v>
      </c>
      <c r="H73" s="4" t="n">
        <v>3500</v>
      </c>
      <c r="I73" s="4" t="n">
        <v>24500</v>
      </c>
      <c r="J73" s="4" t="n">
        <v>15169</v>
      </c>
      <c r="K73" s="4" t="n">
        <v>9331</v>
      </c>
    </row>
    <row r="74">
      <c r="A74" t="inlineStr">
        <is>
          <t>ORD-1073</t>
        </is>
      </c>
      <c r="B74" s="2" t="n">
        <v>45680</v>
      </c>
      <c r="C74" t="inlineStr">
        <is>
          <t>North</t>
        </is>
      </c>
      <c r="D74" t="inlineStr">
        <is>
          <t>Priya Verma</t>
        </is>
      </c>
      <c r="E74" t="inlineStr">
        <is>
          <t>Monitor</t>
        </is>
      </c>
      <c r="F74" t="inlineStr">
        <is>
          <t>Electronics</t>
        </is>
      </c>
      <c r="G74" s="3" t="n">
        <v>10</v>
      </c>
      <c r="H74" s="4" t="n">
        <v>14000</v>
      </c>
      <c r="I74" s="4" t="n">
        <v>140000</v>
      </c>
      <c r="J74" s="4" t="n">
        <v>82322</v>
      </c>
      <c r="K74" s="4" t="n">
        <v>57678</v>
      </c>
    </row>
    <row r="75">
      <c r="A75" t="inlineStr">
        <is>
          <t>ORD-1074</t>
        </is>
      </c>
      <c r="B75" s="2" t="n">
        <v>46001</v>
      </c>
      <c r="C75" t="inlineStr">
        <is>
          <t>North</t>
        </is>
      </c>
      <c r="D75" t="inlineStr">
        <is>
          <t>Amit Sharma</t>
        </is>
      </c>
      <c r="E75" t="inlineStr">
        <is>
          <t>Headphones</t>
        </is>
      </c>
      <c r="F75" t="inlineStr">
        <is>
          <t>Accessories</t>
        </is>
      </c>
      <c r="G75" s="3" t="n">
        <v>9</v>
      </c>
      <c r="H75" s="4" t="n">
        <v>3500</v>
      </c>
      <c r="I75" s="4" t="n">
        <v>31500</v>
      </c>
      <c r="J75" s="4" t="n">
        <v>21652</v>
      </c>
      <c r="K75" s="4" t="n">
        <v>9848</v>
      </c>
    </row>
    <row r="76">
      <c r="A76" t="inlineStr">
        <is>
          <t>ORD-1075</t>
        </is>
      </c>
      <c r="B76" s="2" t="n">
        <v>45827</v>
      </c>
      <c r="C76" t="inlineStr">
        <is>
          <t>East</t>
        </is>
      </c>
      <c r="D76" t="inlineStr">
        <is>
          <t>Anita Roy</t>
        </is>
      </c>
      <c r="E76" t="inlineStr">
        <is>
          <t>Monitor</t>
        </is>
      </c>
      <c r="F76" t="inlineStr">
        <is>
          <t>Electronics</t>
        </is>
      </c>
      <c r="G76" s="3" t="n">
        <v>2</v>
      </c>
      <c r="H76" s="4" t="n">
        <v>14000</v>
      </c>
      <c r="I76" s="4" t="n">
        <v>28000</v>
      </c>
      <c r="J76" s="4" t="n">
        <v>20714</v>
      </c>
      <c r="K76" s="4" t="n">
        <v>7286</v>
      </c>
    </row>
    <row r="77">
      <c r="A77" t="inlineStr">
        <is>
          <t>ORD-1076</t>
        </is>
      </c>
      <c r="B77" s="2" t="n">
        <v>45999</v>
      </c>
      <c r="C77" t="inlineStr">
        <is>
          <t>North</t>
        </is>
      </c>
      <c r="D77" t="inlineStr">
        <is>
          <t>Priya Verma</t>
        </is>
      </c>
      <c r="E77" t="inlineStr">
        <is>
          <t>Keyboard</t>
        </is>
      </c>
      <c r="F77" t="inlineStr">
        <is>
          <t>Accessories</t>
        </is>
      </c>
      <c r="G77" s="3" t="n">
        <v>5</v>
      </c>
      <c r="H77" s="4" t="n">
        <v>2500</v>
      </c>
      <c r="I77" s="4" t="n">
        <v>12500</v>
      </c>
      <c r="J77" s="4" t="n">
        <v>8143</v>
      </c>
      <c r="K77" s="4" t="n">
        <v>4357</v>
      </c>
    </row>
    <row r="78">
      <c r="A78" t="inlineStr">
        <is>
          <t>ORD-1077</t>
        </is>
      </c>
      <c r="B78" s="2" t="n">
        <v>45723</v>
      </c>
      <c r="C78" t="inlineStr">
        <is>
          <t>East</t>
        </is>
      </c>
      <c r="D78" t="inlineStr">
        <is>
          <t>Sourav Das</t>
        </is>
      </c>
      <c r="E78" t="inlineStr">
        <is>
          <t>Monitor</t>
        </is>
      </c>
      <c r="F78" t="inlineStr">
        <is>
          <t>Electronics</t>
        </is>
      </c>
      <c r="G78" s="3" t="n">
        <v>12</v>
      </c>
      <c r="H78" s="4" t="n">
        <v>14000</v>
      </c>
      <c r="I78" s="4" t="n">
        <v>168000</v>
      </c>
      <c r="J78" s="4" t="n">
        <v>102334</v>
      </c>
      <c r="K78" s="4" t="n">
        <v>65666</v>
      </c>
    </row>
    <row r="79">
      <c r="A79" t="inlineStr">
        <is>
          <t>ORD-1078</t>
        </is>
      </c>
      <c r="B79" s="2" t="n">
        <v>45747</v>
      </c>
      <c r="C79" t="inlineStr">
        <is>
          <t>West</t>
        </is>
      </c>
      <c r="D79" t="inlineStr">
        <is>
          <t>Kavita Patil</t>
        </is>
      </c>
      <c r="E79" t="inlineStr">
        <is>
          <t>Keyboard</t>
        </is>
      </c>
      <c r="F79" t="inlineStr">
        <is>
          <t>Accessories</t>
        </is>
      </c>
      <c r="G79" s="3" t="n">
        <v>7</v>
      </c>
      <c r="H79" s="4" t="n">
        <v>2500</v>
      </c>
      <c r="I79" s="4" t="n">
        <v>17500</v>
      </c>
      <c r="J79" s="4" t="n">
        <v>11996</v>
      </c>
      <c r="K79" s="4" t="n">
        <v>5504</v>
      </c>
    </row>
    <row r="80">
      <c r="A80" t="inlineStr">
        <is>
          <t>ORD-1079</t>
        </is>
      </c>
      <c r="B80" s="2" t="n">
        <v>45765</v>
      </c>
      <c r="C80" t="inlineStr">
        <is>
          <t>West</t>
        </is>
      </c>
      <c r="D80" t="inlineStr">
        <is>
          <t>Kavita Patil</t>
        </is>
      </c>
      <c r="E80" t="inlineStr">
        <is>
          <t>Headphones</t>
        </is>
      </c>
      <c r="F80" t="inlineStr">
        <is>
          <t>Accessories</t>
        </is>
      </c>
      <c r="G80" s="3" t="n">
        <v>1</v>
      </c>
      <c r="H80" s="4" t="n">
        <v>3500</v>
      </c>
      <c r="I80" s="4" t="n">
        <v>3500</v>
      </c>
      <c r="J80" s="4" t="n">
        <v>2138</v>
      </c>
      <c r="K80" s="4" t="n">
        <v>1362</v>
      </c>
    </row>
    <row r="81">
      <c r="A81" t="inlineStr">
        <is>
          <t>ORD-1080</t>
        </is>
      </c>
      <c r="B81" s="2" t="n">
        <v>45767</v>
      </c>
      <c r="C81" t="inlineStr">
        <is>
          <t>East</t>
        </is>
      </c>
      <c r="D81" t="inlineStr">
        <is>
          <t>Anita Roy</t>
        </is>
      </c>
      <c r="E81" t="inlineStr">
        <is>
          <t>Monitor</t>
        </is>
      </c>
      <c r="F81" t="inlineStr">
        <is>
          <t>Electronics</t>
        </is>
      </c>
      <c r="G81" s="3" t="n">
        <v>8</v>
      </c>
      <c r="H81" s="4" t="n">
        <v>14000</v>
      </c>
      <c r="I81" s="4" t="n">
        <v>112000</v>
      </c>
      <c r="J81" s="4" t="n">
        <v>71504</v>
      </c>
      <c r="K81" s="4" t="n">
        <v>40496</v>
      </c>
    </row>
    <row r="82">
      <c r="A82" t="inlineStr">
        <is>
          <t>ORD-1081</t>
        </is>
      </c>
      <c r="B82" s="2" t="n">
        <v>45997</v>
      </c>
      <c r="C82" t="inlineStr">
        <is>
          <t>South</t>
        </is>
      </c>
      <c r="D82" t="inlineStr">
        <is>
          <t>Divya Menon</t>
        </is>
      </c>
      <c r="E82" t="inlineStr">
        <is>
          <t>Keyboard</t>
        </is>
      </c>
      <c r="F82" t="inlineStr">
        <is>
          <t>Accessories</t>
        </is>
      </c>
      <c r="G82" s="3" t="n">
        <v>2</v>
      </c>
      <c r="H82" s="4" t="n">
        <v>2500</v>
      </c>
      <c r="I82" s="4" t="n">
        <v>5000</v>
      </c>
      <c r="J82" s="4" t="n">
        <v>3034</v>
      </c>
      <c r="K82" s="4" t="n">
        <v>1966</v>
      </c>
    </row>
    <row r="83">
      <c r="A83" t="inlineStr">
        <is>
          <t>ORD-1082</t>
        </is>
      </c>
      <c r="B83" s="2" t="n">
        <v>45759</v>
      </c>
      <c r="C83" t="inlineStr">
        <is>
          <t>North</t>
        </is>
      </c>
      <c r="D83" t="inlineStr">
        <is>
          <t>Amit Sharma</t>
        </is>
      </c>
      <c r="E83" t="inlineStr">
        <is>
          <t>Smartphone</t>
        </is>
      </c>
      <c r="F83" t="inlineStr">
        <is>
          <t>Electronics</t>
        </is>
      </c>
      <c r="G83" s="3" t="n">
        <v>11</v>
      </c>
      <c r="H83" s="4" t="n">
        <v>22000</v>
      </c>
      <c r="I83" s="4" t="n">
        <v>242000</v>
      </c>
      <c r="J83" s="4" t="n">
        <v>148124</v>
      </c>
      <c r="K83" s="4" t="n">
        <v>93876</v>
      </c>
    </row>
    <row r="84">
      <c r="A84" t="inlineStr">
        <is>
          <t>ORD-1083</t>
        </is>
      </c>
      <c r="B84" s="2" t="n">
        <v>45970</v>
      </c>
      <c r="C84" t="inlineStr">
        <is>
          <t>North</t>
        </is>
      </c>
      <c r="D84" t="inlineStr">
        <is>
          <t>Amit Sharma</t>
        </is>
      </c>
      <c r="E84" t="inlineStr">
        <is>
          <t>Laptop</t>
        </is>
      </c>
      <c r="F84" t="inlineStr">
        <is>
          <t>Electronics</t>
        </is>
      </c>
      <c r="G84" s="3" t="n">
        <v>4</v>
      </c>
      <c r="H84" s="4" t="n">
        <v>55000</v>
      </c>
      <c r="I84" s="4" t="n">
        <v>220000</v>
      </c>
      <c r="J84" s="4" t="n">
        <v>164293</v>
      </c>
      <c r="K84" s="4" t="n">
        <v>55707</v>
      </c>
    </row>
    <row r="85">
      <c r="A85" t="inlineStr">
        <is>
          <t>ORD-1084</t>
        </is>
      </c>
      <c r="B85" s="2" t="n">
        <v>46014</v>
      </c>
      <c r="C85" t="inlineStr">
        <is>
          <t>West</t>
        </is>
      </c>
      <c r="D85" t="inlineStr">
        <is>
          <t>Kavita Patil</t>
        </is>
      </c>
      <c r="E85" t="inlineStr">
        <is>
          <t>Monitor</t>
        </is>
      </c>
      <c r="F85" t="inlineStr">
        <is>
          <t>Electronics</t>
        </is>
      </c>
      <c r="G85" s="3" t="n">
        <v>11</v>
      </c>
      <c r="H85" s="4" t="n">
        <v>14000</v>
      </c>
      <c r="I85" s="4" t="n">
        <v>154000</v>
      </c>
      <c r="J85" s="4" t="n">
        <v>102431</v>
      </c>
      <c r="K85" s="4" t="n">
        <v>51569</v>
      </c>
    </row>
    <row r="86">
      <c r="A86" t="inlineStr">
        <is>
          <t>ORD-1085</t>
        </is>
      </c>
      <c r="B86" s="2" t="n">
        <v>46010</v>
      </c>
      <c r="C86" t="inlineStr">
        <is>
          <t>West</t>
        </is>
      </c>
      <c r="D86" t="inlineStr">
        <is>
          <t>Vikram Mehta</t>
        </is>
      </c>
      <c r="E86" t="inlineStr">
        <is>
          <t>Monitor</t>
        </is>
      </c>
      <c r="F86" t="inlineStr">
        <is>
          <t>Electronics</t>
        </is>
      </c>
      <c r="G86" s="3" t="n">
        <v>4</v>
      </c>
      <c r="H86" s="4" t="n">
        <v>14000</v>
      </c>
      <c r="I86" s="4" t="n">
        <v>56000</v>
      </c>
      <c r="J86" s="4" t="n">
        <v>32453</v>
      </c>
      <c r="K86" s="4" t="n">
        <v>23547</v>
      </c>
    </row>
    <row r="87">
      <c r="A87" t="inlineStr">
        <is>
          <t>ORD-1086</t>
        </is>
      </c>
      <c r="B87" s="2" t="n">
        <v>46014</v>
      </c>
      <c r="C87" t="inlineStr">
        <is>
          <t>North</t>
        </is>
      </c>
      <c r="D87" t="inlineStr">
        <is>
          <t>Priya Verma</t>
        </is>
      </c>
      <c r="E87" t="inlineStr">
        <is>
          <t>Monitor</t>
        </is>
      </c>
      <c r="F87" t="inlineStr">
        <is>
          <t>Electronics</t>
        </is>
      </c>
      <c r="G87" s="3" t="n">
        <v>4</v>
      </c>
      <c r="H87" s="4" t="n">
        <v>14000</v>
      </c>
      <c r="I87" s="4" t="n">
        <v>56000</v>
      </c>
      <c r="J87" s="4" t="n">
        <v>32770</v>
      </c>
      <c r="K87" s="4" t="n">
        <v>23230</v>
      </c>
    </row>
    <row r="88">
      <c r="A88" t="inlineStr">
        <is>
          <t>ORD-1087</t>
        </is>
      </c>
      <c r="B88" s="2" t="n">
        <v>45720</v>
      </c>
      <c r="C88" t="inlineStr">
        <is>
          <t>North</t>
        </is>
      </c>
      <c r="D88" t="inlineStr">
        <is>
          <t>Priya Verma</t>
        </is>
      </c>
      <c r="E88" t="inlineStr">
        <is>
          <t>Headphones</t>
        </is>
      </c>
      <c r="F88" t="inlineStr">
        <is>
          <t>Accessories</t>
        </is>
      </c>
      <c r="G88" s="3" t="n">
        <v>4</v>
      </c>
      <c r="H88" s="4" t="n">
        <v>3500</v>
      </c>
      <c r="I88" s="4" t="n">
        <v>14000</v>
      </c>
      <c r="J88" s="4" t="n">
        <v>10269</v>
      </c>
      <c r="K88" s="4" t="n">
        <v>3731</v>
      </c>
    </row>
    <row r="89">
      <c r="A89" t="inlineStr">
        <is>
          <t>ORD-1088</t>
        </is>
      </c>
      <c r="B89" s="2" t="n">
        <v>45944</v>
      </c>
      <c r="C89" t="inlineStr">
        <is>
          <t>South</t>
        </is>
      </c>
      <c r="D89" t="inlineStr">
        <is>
          <t>Divya Menon</t>
        </is>
      </c>
      <c r="E89" t="inlineStr">
        <is>
          <t>Monitor</t>
        </is>
      </c>
      <c r="F89" t="inlineStr">
        <is>
          <t>Electronics</t>
        </is>
      </c>
      <c r="G89" s="3" t="n">
        <v>11</v>
      </c>
      <c r="H89" s="4" t="n">
        <v>14000</v>
      </c>
      <c r="I89" s="4" t="n">
        <v>154000</v>
      </c>
      <c r="J89" s="4" t="n">
        <v>101059</v>
      </c>
      <c r="K89" s="4" t="n">
        <v>52941</v>
      </c>
    </row>
    <row r="90">
      <c r="A90" t="inlineStr">
        <is>
          <t>ORD-1089</t>
        </is>
      </c>
      <c r="B90" s="2" t="n">
        <v>45876</v>
      </c>
      <c r="C90" t="inlineStr">
        <is>
          <t>West</t>
        </is>
      </c>
      <c r="D90" t="inlineStr">
        <is>
          <t>Kavita Patil</t>
        </is>
      </c>
      <c r="E90" t="inlineStr">
        <is>
          <t>Headphones</t>
        </is>
      </c>
      <c r="F90" t="inlineStr">
        <is>
          <t>Accessories</t>
        </is>
      </c>
      <c r="G90" s="3" t="n">
        <v>12</v>
      </c>
      <c r="H90" s="4" t="n">
        <v>3500</v>
      </c>
      <c r="I90" s="4" t="n">
        <v>42000</v>
      </c>
      <c r="J90" s="4" t="n">
        <v>30593</v>
      </c>
      <c r="K90" s="4" t="n">
        <v>11407</v>
      </c>
    </row>
    <row r="91">
      <c r="A91" t="inlineStr">
        <is>
          <t>ORD-1090</t>
        </is>
      </c>
      <c r="B91" s="2" t="n">
        <v>45784</v>
      </c>
      <c r="C91" t="inlineStr">
        <is>
          <t>South</t>
        </is>
      </c>
      <c r="D91" t="inlineStr">
        <is>
          <t>Divya Menon</t>
        </is>
      </c>
      <c r="E91" t="inlineStr">
        <is>
          <t>Keyboard</t>
        </is>
      </c>
      <c r="F91" t="inlineStr">
        <is>
          <t>Accessories</t>
        </is>
      </c>
      <c r="G91" s="3" t="n">
        <v>8</v>
      </c>
      <c r="H91" s="4" t="n">
        <v>2500</v>
      </c>
      <c r="I91" s="4" t="n">
        <v>20000</v>
      </c>
      <c r="J91" s="4" t="n">
        <v>12800</v>
      </c>
      <c r="K91" s="4" t="n">
        <v>7200</v>
      </c>
    </row>
    <row r="92">
      <c r="A92" t="inlineStr">
        <is>
          <t>ORD-1091</t>
        </is>
      </c>
      <c r="B92" s="2" t="n">
        <v>45697</v>
      </c>
      <c r="C92" t="inlineStr">
        <is>
          <t>West</t>
        </is>
      </c>
      <c r="D92" t="inlineStr">
        <is>
          <t>Kavita Patil</t>
        </is>
      </c>
      <c r="E92" t="inlineStr">
        <is>
          <t>Keyboard</t>
        </is>
      </c>
      <c r="F92" t="inlineStr">
        <is>
          <t>Accessories</t>
        </is>
      </c>
      <c r="G92" s="3" t="n">
        <v>4</v>
      </c>
      <c r="H92" s="4" t="n">
        <v>2500</v>
      </c>
      <c r="I92" s="4" t="n">
        <v>10000</v>
      </c>
      <c r="J92" s="4" t="n">
        <v>6049</v>
      </c>
      <c r="K92" s="4" t="n">
        <v>3951</v>
      </c>
    </row>
    <row r="93">
      <c r="A93" t="inlineStr">
        <is>
          <t>ORD-1092</t>
        </is>
      </c>
      <c r="B93" s="2" t="n">
        <v>45934</v>
      </c>
      <c r="C93" t="inlineStr">
        <is>
          <t>South</t>
        </is>
      </c>
      <c r="D93" t="inlineStr">
        <is>
          <t>Ravi Nair</t>
        </is>
      </c>
      <c r="E93" t="inlineStr">
        <is>
          <t>Tablet</t>
        </is>
      </c>
      <c r="F93" t="inlineStr">
        <is>
          <t>Electronics</t>
        </is>
      </c>
      <c r="G93" s="3" t="n">
        <v>6</v>
      </c>
      <c r="H93" s="4" t="n">
        <v>18000</v>
      </c>
      <c r="I93" s="4" t="n">
        <v>108000</v>
      </c>
      <c r="J93" s="4" t="n">
        <v>66306</v>
      </c>
      <c r="K93" s="4" t="n">
        <v>41694</v>
      </c>
    </row>
    <row r="94">
      <c r="A94" t="inlineStr">
        <is>
          <t>ORD-1093</t>
        </is>
      </c>
      <c r="B94" s="2" t="n">
        <v>45736</v>
      </c>
      <c r="C94" t="inlineStr">
        <is>
          <t>South</t>
        </is>
      </c>
      <c r="D94" t="inlineStr">
        <is>
          <t>Ravi Nair</t>
        </is>
      </c>
      <c r="E94" t="inlineStr">
        <is>
          <t>Smartphone</t>
        </is>
      </c>
      <c r="F94" t="inlineStr">
        <is>
          <t>Electronics</t>
        </is>
      </c>
      <c r="G94" s="3" t="n">
        <v>4</v>
      </c>
      <c r="H94" s="4" t="n">
        <v>22000</v>
      </c>
      <c r="I94" s="4" t="n">
        <v>88000</v>
      </c>
      <c r="J94" s="4" t="n">
        <v>55141</v>
      </c>
      <c r="K94" s="4" t="n">
        <v>32859</v>
      </c>
    </row>
    <row r="95">
      <c r="A95" t="inlineStr">
        <is>
          <t>ORD-1094</t>
        </is>
      </c>
      <c r="B95" s="2" t="n">
        <v>45896</v>
      </c>
      <c r="C95" t="inlineStr">
        <is>
          <t>North</t>
        </is>
      </c>
      <c r="D95" t="inlineStr">
        <is>
          <t>Priya Verma</t>
        </is>
      </c>
      <c r="E95" t="inlineStr">
        <is>
          <t>Monitor</t>
        </is>
      </c>
      <c r="F95" t="inlineStr">
        <is>
          <t>Electronics</t>
        </is>
      </c>
      <c r="G95" s="3" t="n">
        <v>7</v>
      </c>
      <c r="H95" s="4" t="n">
        <v>14000</v>
      </c>
      <c r="I95" s="4" t="n">
        <v>98000</v>
      </c>
      <c r="J95" s="4" t="n">
        <v>60385</v>
      </c>
      <c r="K95" s="4" t="n">
        <v>37615</v>
      </c>
    </row>
    <row r="96">
      <c r="A96" t="inlineStr">
        <is>
          <t>ORD-1095</t>
        </is>
      </c>
      <c r="B96" s="2" t="n">
        <v>45957</v>
      </c>
      <c r="C96" t="inlineStr">
        <is>
          <t>North</t>
        </is>
      </c>
      <c r="D96" t="inlineStr">
        <is>
          <t>Amit Sharma</t>
        </is>
      </c>
      <c r="E96" t="inlineStr">
        <is>
          <t>Smartphone</t>
        </is>
      </c>
      <c r="F96" t="inlineStr">
        <is>
          <t>Electronics</t>
        </is>
      </c>
      <c r="G96" s="3" t="n">
        <v>7</v>
      </c>
      <c r="H96" s="4" t="n">
        <v>22000</v>
      </c>
      <c r="I96" s="4" t="n">
        <v>154000</v>
      </c>
      <c r="J96" s="4" t="n">
        <v>96696</v>
      </c>
      <c r="K96" s="4" t="n">
        <v>57304</v>
      </c>
    </row>
    <row r="97">
      <c r="A97" t="inlineStr">
        <is>
          <t>ORD-1096</t>
        </is>
      </c>
      <c r="B97" s="2" t="n">
        <v>45810</v>
      </c>
      <c r="C97" t="inlineStr">
        <is>
          <t>West</t>
        </is>
      </c>
      <c r="D97" t="inlineStr">
        <is>
          <t>Kavita Patil</t>
        </is>
      </c>
      <c r="E97" t="inlineStr">
        <is>
          <t>Monitor</t>
        </is>
      </c>
      <c r="F97" t="inlineStr">
        <is>
          <t>Electronics</t>
        </is>
      </c>
      <c r="G97" s="3" t="n">
        <v>1</v>
      </c>
      <c r="H97" s="4" t="n">
        <v>14000</v>
      </c>
      <c r="I97" s="4" t="n">
        <v>14000</v>
      </c>
      <c r="J97" s="4" t="n">
        <v>10340</v>
      </c>
      <c r="K97" s="4" t="n">
        <v>3660</v>
      </c>
    </row>
    <row r="98">
      <c r="A98" t="inlineStr">
        <is>
          <t>ORD-1097</t>
        </is>
      </c>
      <c r="B98" s="2" t="n">
        <v>45966</v>
      </c>
      <c r="C98" t="inlineStr">
        <is>
          <t>West</t>
        </is>
      </c>
      <c r="D98" t="inlineStr">
        <is>
          <t>Vikram Mehta</t>
        </is>
      </c>
      <c r="E98" t="inlineStr">
        <is>
          <t>Headphones</t>
        </is>
      </c>
      <c r="F98" t="inlineStr">
        <is>
          <t>Accessories</t>
        </is>
      </c>
      <c r="G98" s="3" t="n">
        <v>12</v>
      </c>
      <c r="H98" s="4" t="n">
        <v>3500</v>
      </c>
      <c r="I98" s="4" t="n">
        <v>42000</v>
      </c>
      <c r="J98" s="4" t="n">
        <v>29271</v>
      </c>
      <c r="K98" s="4" t="n">
        <v>12729</v>
      </c>
    </row>
    <row r="99">
      <c r="A99" t="inlineStr">
        <is>
          <t>ORD-1098</t>
        </is>
      </c>
      <c r="B99" s="2" t="n">
        <v>45672</v>
      </c>
      <c r="C99" t="inlineStr">
        <is>
          <t>West</t>
        </is>
      </c>
      <c r="D99" t="inlineStr">
        <is>
          <t>Kavita Patil</t>
        </is>
      </c>
      <c r="E99" t="inlineStr">
        <is>
          <t>Smartphone</t>
        </is>
      </c>
      <c r="F99" t="inlineStr">
        <is>
          <t>Electronics</t>
        </is>
      </c>
      <c r="G99" s="3" t="n">
        <v>5</v>
      </c>
      <c r="H99" s="4" t="n">
        <v>22000</v>
      </c>
      <c r="I99" s="4" t="n">
        <v>110000</v>
      </c>
      <c r="J99" s="4" t="n">
        <v>70088</v>
      </c>
      <c r="K99" s="4" t="n">
        <v>39912</v>
      </c>
    </row>
    <row r="100">
      <c r="A100" t="inlineStr">
        <is>
          <t>ORD-1099</t>
        </is>
      </c>
      <c r="B100" s="2" t="n">
        <v>45742</v>
      </c>
      <c r="C100" t="inlineStr">
        <is>
          <t>East</t>
        </is>
      </c>
      <c r="D100" t="inlineStr">
        <is>
          <t>Anita Roy</t>
        </is>
      </c>
      <c r="E100" t="inlineStr">
        <is>
          <t>Keyboard</t>
        </is>
      </c>
      <c r="F100" t="inlineStr">
        <is>
          <t>Accessories</t>
        </is>
      </c>
      <c r="G100" s="3" t="n">
        <v>11</v>
      </c>
      <c r="H100" s="4" t="n">
        <v>2500</v>
      </c>
      <c r="I100" s="4" t="n">
        <v>27500</v>
      </c>
      <c r="J100" s="4" t="n">
        <v>19515</v>
      </c>
      <c r="K100" s="4" t="n">
        <v>7985</v>
      </c>
    </row>
    <row r="101">
      <c r="A101" t="inlineStr">
        <is>
          <t>ORD-1100</t>
        </is>
      </c>
      <c r="B101" s="2" t="n">
        <v>45859</v>
      </c>
      <c r="C101" t="inlineStr">
        <is>
          <t>South</t>
        </is>
      </c>
      <c r="D101" t="inlineStr">
        <is>
          <t>Ravi Nair</t>
        </is>
      </c>
      <c r="E101" t="inlineStr">
        <is>
          <t>Headphones</t>
        </is>
      </c>
      <c r="F101" t="inlineStr">
        <is>
          <t>Accessories</t>
        </is>
      </c>
      <c r="G101" s="3" t="n">
        <v>9</v>
      </c>
      <c r="H101" s="4" t="n">
        <v>3500</v>
      </c>
      <c r="I101" s="4" t="n">
        <v>31500</v>
      </c>
      <c r="J101" s="4" t="n">
        <v>17495</v>
      </c>
      <c r="K101" s="4" t="n">
        <v>14005</v>
      </c>
    </row>
    <row r="102">
      <c r="A102" t="inlineStr">
        <is>
          <t>ORD-1101</t>
        </is>
      </c>
      <c r="B102" s="2" t="n">
        <v>45894</v>
      </c>
      <c r="C102" t="inlineStr">
        <is>
          <t>North</t>
        </is>
      </c>
      <c r="D102" t="inlineStr">
        <is>
          <t>Amit Sharma</t>
        </is>
      </c>
      <c r="E102" t="inlineStr">
        <is>
          <t>Keyboard</t>
        </is>
      </c>
      <c r="F102" t="inlineStr">
        <is>
          <t>Accessories</t>
        </is>
      </c>
      <c r="G102" s="3" t="n">
        <v>7</v>
      </c>
      <c r="H102" s="4" t="n">
        <v>2500</v>
      </c>
      <c r="I102" s="4" t="n">
        <v>17500</v>
      </c>
      <c r="J102" s="4" t="n">
        <v>10100</v>
      </c>
      <c r="K102" s="4" t="n">
        <v>7400</v>
      </c>
    </row>
    <row r="103">
      <c r="A103" t="inlineStr">
        <is>
          <t>ORD-1102</t>
        </is>
      </c>
      <c r="B103" s="2" t="n">
        <v>45890</v>
      </c>
      <c r="C103" t="inlineStr">
        <is>
          <t>North</t>
        </is>
      </c>
      <c r="D103" t="inlineStr">
        <is>
          <t>Priya Verma</t>
        </is>
      </c>
      <c r="E103" t="inlineStr">
        <is>
          <t>Tablet</t>
        </is>
      </c>
      <c r="F103" t="inlineStr">
        <is>
          <t>Electronics</t>
        </is>
      </c>
      <c r="G103" s="3" t="n">
        <v>7</v>
      </c>
      <c r="H103" s="4" t="n">
        <v>18000</v>
      </c>
      <c r="I103" s="4" t="n">
        <v>126000</v>
      </c>
      <c r="J103" s="4" t="n">
        <v>77549</v>
      </c>
      <c r="K103" s="4" t="n">
        <v>48451</v>
      </c>
    </row>
    <row r="104">
      <c r="A104" t="inlineStr">
        <is>
          <t>ORD-1103</t>
        </is>
      </c>
      <c r="B104" s="2" t="n">
        <v>45873</v>
      </c>
      <c r="C104" t="inlineStr">
        <is>
          <t>East</t>
        </is>
      </c>
      <c r="D104" t="inlineStr">
        <is>
          <t>Anita Roy</t>
        </is>
      </c>
      <c r="E104" t="inlineStr">
        <is>
          <t>Monitor</t>
        </is>
      </c>
      <c r="F104" t="inlineStr">
        <is>
          <t>Electronics</t>
        </is>
      </c>
      <c r="G104" s="3" t="n">
        <v>5</v>
      </c>
      <c r="H104" s="4" t="n">
        <v>14000</v>
      </c>
      <c r="I104" s="4" t="n">
        <v>70000</v>
      </c>
      <c r="J104" s="4" t="n">
        <v>49028</v>
      </c>
      <c r="K104" s="4" t="n">
        <v>20972</v>
      </c>
    </row>
    <row r="105">
      <c r="A105" t="inlineStr">
        <is>
          <t>ORD-1104</t>
        </is>
      </c>
      <c r="B105" s="2" t="n">
        <v>45684</v>
      </c>
      <c r="C105" t="inlineStr">
        <is>
          <t>North</t>
        </is>
      </c>
      <c r="D105" t="inlineStr">
        <is>
          <t>Priya Verma</t>
        </is>
      </c>
      <c r="E105" t="inlineStr">
        <is>
          <t>Monitor</t>
        </is>
      </c>
      <c r="F105" t="inlineStr">
        <is>
          <t>Electronics</t>
        </is>
      </c>
      <c r="G105" s="3" t="n">
        <v>1</v>
      </c>
      <c r="H105" s="4" t="n">
        <v>14000</v>
      </c>
      <c r="I105" s="4" t="n">
        <v>14000</v>
      </c>
      <c r="J105" s="4" t="n">
        <v>9797</v>
      </c>
      <c r="K105" s="4" t="n">
        <v>4203</v>
      </c>
    </row>
    <row r="106">
      <c r="A106" t="inlineStr">
        <is>
          <t>ORD-1105</t>
        </is>
      </c>
      <c r="B106" s="2" t="n">
        <v>45991</v>
      </c>
      <c r="C106" t="inlineStr">
        <is>
          <t>South</t>
        </is>
      </c>
      <c r="D106" t="inlineStr">
        <is>
          <t>Ravi Nair</t>
        </is>
      </c>
      <c r="E106" t="inlineStr">
        <is>
          <t>Keyboard</t>
        </is>
      </c>
      <c r="F106" t="inlineStr">
        <is>
          <t>Accessories</t>
        </is>
      </c>
      <c r="G106" s="3" t="n">
        <v>2</v>
      </c>
      <c r="H106" s="4" t="n">
        <v>2500</v>
      </c>
      <c r="I106" s="4" t="n">
        <v>5000</v>
      </c>
      <c r="J106" s="4" t="n">
        <v>3531</v>
      </c>
      <c r="K106" s="4" t="n">
        <v>1469</v>
      </c>
    </row>
    <row r="107">
      <c r="A107" t="inlineStr">
        <is>
          <t>ORD-1106</t>
        </is>
      </c>
      <c r="B107" s="2" t="n">
        <v>45976</v>
      </c>
      <c r="C107" t="inlineStr">
        <is>
          <t>North</t>
        </is>
      </c>
      <c r="D107" t="inlineStr">
        <is>
          <t>Amit Sharma</t>
        </is>
      </c>
      <c r="E107" t="inlineStr">
        <is>
          <t>Smartphone</t>
        </is>
      </c>
      <c r="F107" t="inlineStr">
        <is>
          <t>Electronics</t>
        </is>
      </c>
      <c r="G107" s="3" t="n">
        <v>4</v>
      </c>
      <c r="H107" s="4" t="n">
        <v>22000</v>
      </c>
      <c r="I107" s="4" t="n">
        <v>88000</v>
      </c>
      <c r="J107" s="4" t="n">
        <v>63170</v>
      </c>
      <c r="K107" s="4" t="n">
        <v>24830</v>
      </c>
    </row>
    <row r="108">
      <c r="A108" t="inlineStr">
        <is>
          <t>ORD-1107</t>
        </is>
      </c>
      <c r="B108" s="2" t="n">
        <v>45946</v>
      </c>
      <c r="C108" t="inlineStr">
        <is>
          <t>South</t>
        </is>
      </c>
      <c r="D108" t="inlineStr">
        <is>
          <t>Ravi Nair</t>
        </is>
      </c>
      <c r="E108" t="inlineStr">
        <is>
          <t>Smartphone</t>
        </is>
      </c>
      <c r="F108" t="inlineStr">
        <is>
          <t>Electronics</t>
        </is>
      </c>
      <c r="G108" s="3" t="n">
        <v>8</v>
      </c>
      <c r="H108" s="4" t="n">
        <v>22000</v>
      </c>
      <c r="I108" s="4" t="n">
        <v>176000</v>
      </c>
      <c r="J108" s="4" t="n">
        <v>120365</v>
      </c>
      <c r="K108" s="4" t="n">
        <v>55635</v>
      </c>
    </row>
    <row r="109">
      <c r="A109" t="inlineStr">
        <is>
          <t>ORD-1108</t>
        </is>
      </c>
      <c r="B109" s="2" t="n">
        <v>45743</v>
      </c>
      <c r="C109" t="inlineStr">
        <is>
          <t>West</t>
        </is>
      </c>
      <c r="D109" t="inlineStr">
        <is>
          <t>Vikram Mehta</t>
        </is>
      </c>
      <c r="E109" t="inlineStr">
        <is>
          <t>Keyboard</t>
        </is>
      </c>
      <c r="F109" t="inlineStr">
        <is>
          <t>Accessories</t>
        </is>
      </c>
      <c r="G109" s="3" t="n">
        <v>5</v>
      </c>
      <c r="H109" s="4" t="n">
        <v>2500</v>
      </c>
      <c r="I109" s="4" t="n">
        <v>12500</v>
      </c>
      <c r="J109" s="4" t="n">
        <v>8792</v>
      </c>
      <c r="K109" s="4" t="n">
        <v>3708</v>
      </c>
    </row>
    <row r="110">
      <c r="A110" t="inlineStr">
        <is>
          <t>ORD-1109</t>
        </is>
      </c>
      <c r="B110" s="2" t="n">
        <v>45817</v>
      </c>
      <c r="C110" t="inlineStr">
        <is>
          <t>South</t>
        </is>
      </c>
      <c r="D110" t="inlineStr">
        <is>
          <t>Divya Menon</t>
        </is>
      </c>
      <c r="E110" t="inlineStr">
        <is>
          <t>Tablet</t>
        </is>
      </c>
      <c r="F110" t="inlineStr">
        <is>
          <t>Electronics</t>
        </is>
      </c>
      <c r="G110" s="3" t="n">
        <v>2</v>
      </c>
      <c r="H110" s="4" t="n">
        <v>18000</v>
      </c>
      <c r="I110" s="4" t="n">
        <v>36000</v>
      </c>
      <c r="J110" s="4" t="n">
        <v>23967</v>
      </c>
      <c r="K110" s="4" t="n">
        <v>12033</v>
      </c>
    </row>
    <row r="111">
      <c r="A111" t="inlineStr">
        <is>
          <t>ORD-1110</t>
        </is>
      </c>
      <c r="B111" s="2" t="n">
        <v>46011</v>
      </c>
      <c r="C111" t="inlineStr">
        <is>
          <t>West</t>
        </is>
      </c>
      <c r="D111" t="inlineStr">
        <is>
          <t>Vikram Mehta</t>
        </is>
      </c>
      <c r="E111" t="inlineStr">
        <is>
          <t>Keyboard</t>
        </is>
      </c>
      <c r="F111" t="inlineStr">
        <is>
          <t>Accessories</t>
        </is>
      </c>
      <c r="G111" s="3" t="n">
        <v>4</v>
      </c>
      <c r="H111" s="4" t="n">
        <v>2500</v>
      </c>
      <c r="I111" s="4" t="n">
        <v>10000</v>
      </c>
      <c r="J111" s="4" t="n">
        <v>5652</v>
      </c>
      <c r="K111" s="4" t="n">
        <v>4348</v>
      </c>
    </row>
    <row r="112">
      <c r="A112" t="inlineStr">
        <is>
          <t>ORD-1111</t>
        </is>
      </c>
      <c r="B112" s="2" t="n">
        <v>45965</v>
      </c>
      <c r="C112" t="inlineStr">
        <is>
          <t>North</t>
        </is>
      </c>
      <c r="D112" t="inlineStr">
        <is>
          <t>Amit Sharma</t>
        </is>
      </c>
      <c r="E112" t="inlineStr">
        <is>
          <t>Keyboard</t>
        </is>
      </c>
      <c r="F112" t="inlineStr">
        <is>
          <t>Accessories</t>
        </is>
      </c>
      <c r="G112" s="3" t="n">
        <v>5</v>
      </c>
      <c r="H112" s="4" t="n">
        <v>2500</v>
      </c>
      <c r="I112" s="4" t="n">
        <v>12500</v>
      </c>
      <c r="J112" s="4" t="n">
        <v>9001</v>
      </c>
      <c r="K112" s="4" t="n">
        <v>3499</v>
      </c>
    </row>
    <row r="113">
      <c r="A113" t="inlineStr">
        <is>
          <t>ORD-1112</t>
        </is>
      </c>
      <c r="B113" s="2" t="n">
        <v>45847</v>
      </c>
      <c r="C113" t="inlineStr">
        <is>
          <t>North</t>
        </is>
      </c>
      <c r="D113" t="inlineStr">
        <is>
          <t>Amit Sharma</t>
        </is>
      </c>
      <c r="E113" t="inlineStr">
        <is>
          <t>Tablet</t>
        </is>
      </c>
      <c r="F113" t="inlineStr">
        <is>
          <t>Electronics</t>
        </is>
      </c>
      <c r="G113" s="3" t="n">
        <v>9</v>
      </c>
      <c r="H113" s="4" t="n">
        <v>18000</v>
      </c>
      <c r="I113" s="4" t="n">
        <v>162000</v>
      </c>
      <c r="J113" s="4" t="n">
        <v>102979</v>
      </c>
      <c r="K113" s="4" t="n">
        <v>59021</v>
      </c>
    </row>
    <row r="114">
      <c r="A114" t="inlineStr">
        <is>
          <t>ORD-1113</t>
        </is>
      </c>
      <c r="B114" s="2" t="n">
        <v>45712</v>
      </c>
      <c r="C114" t="inlineStr">
        <is>
          <t>East</t>
        </is>
      </c>
      <c r="D114" t="inlineStr">
        <is>
          <t>Anita Roy</t>
        </is>
      </c>
      <c r="E114" t="inlineStr">
        <is>
          <t>Laptop</t>
        </is>
      </c>
      <c r="F114" t="inlineStr">
        <is>
          <t>Electronics</t>
        </is>
      </c>
      <c r="G114" s="3" t="n">
        <v>7</v>
      </c>
      <c r="H114" s="4" t="n">
        <v>55000</v>
      </c>
      <c r="I114" s="4" t="n">
        <v>385000</v>
      </c>
      <c r="J114" s="4" t="n">
        <v>275069</v>
      </c>
      <c r="K114" s="4" t="n">
        <v>109931</v>
      </c>
    </row>
    <row r="115">
      <c r="A115" t="inlineStr">
        <is>
          <t>ORD-1114</t>
        </is>
      </c>
      <c r="B115" s="2" t="n">
        <v>45880</v>
      </c>
      <c r="C115" t="inlineStr">
        <is>
          <t>East</t>
        </is>
      </c>
      <c r="D115" t="inlineStr">
        <is>
          <t>Sourav Das</t>
        </is>
      </c>
      <c r="E115" t="inlineStr">
        <is>
          <t>Keyboard</t>
        </is>
      </c>
      <c r="F115" t="inlineStr">
        <is>
          <t>Accessories</t>
        </is>
      </c>
      <c r="G115" s="3" t="n">
        <v>8</v>
      </c>
      <c r="H115" s="4" t="n">
        <v>2500</v>
      </c>
      <c r="I115" s="4" t="n">
        <v>20000</v>
      </c>
      <c r="J115" s="4" t="n">
        <v>13829</v>
      </c>
      <c r="K115" s="4" t="n">
        <v>6171</v>
      </c>
    </row>
    <row r="116">
      <c r="A116" t="inlineStr">
        <is>
          <t>ORD-1115</t>
        </is>
      </c>
      <c r="B116" s="2" t="n">
        <v>45896</v>
      </c>
      <c r="C116" t="inlineStr">
        <is>
          <t>East</t>
        </is>
      </c>
      <c r="D116" t="inlineStr">
        <is>
          <t>Anita Roy</t>
        </is>
      </c>
      <c r="E116" t="inlineStr">
        <is>
          <t>Headphones</t>
        </is>
      </c>
      <c r="F116" t="inlineStr">
        <is>
          <t>Accessories</t>
        </is>
      </c>
      <c r="G116" s="3" t="n">
        <v>9</v>
      </c>
      <c r="H116" s="4" t="n">
        <v>3500</v>
      </c>
      <c r="I116" s="4" t="n">
        <v>31500</v>
      </c>
      <c r="J116" s="4" t="n">
        <v>22205</v>
      </c>
      <c r="K116" s="4" t="n">
        <v>9295</v>
      </c>
    </row>
    <row r="117">
      <c r="A117" t="inlineStr">
        <is>
          <t>ORD-1116</t>
        </is>
      </c>
      <c r="B117" s="2" t="n">
        <v>45702</v>
      </c>
      <c r="C117" t="inlineStr">
        <is>
          <t>East</t>
        </is>
      </c>
      <c r="D117" t="inlineStr">
        <is>
          <t>Anita Roy</t>
        </is>
      </c>
      <c r="E117" t="inlineStr">
        <is>
          <t>Tablet</t>
        </is>
      </c>
      <c r="F117" t="inlineStr">
        <is>
          <t>Electronics</t>
        </is>
      </c>
      <c r="G117" s="3" t="n">
        <v>4</v>
      </c>
      <c r="H117" s="4" t="n">
        <v>18000</v>
      </c>
      <c r="I117" s="4" t="n">
        <v>72000</v>
      </c>
      <c r="J117" s="4" t="n">
        <v>51563</v>
      </c>
      <c r="K117" s="4" t="n">
        <v>20437</v>
      </c>
    </row>
    <row r="118">
      <c r="A118" t="inlineStr">
        <is>
          <t>ORD-1117</t>
        </is>
      </c>
      <c r="B118" s="2" t="n">
        <v>46000</v>
      </c>
      <c r="C118" t="inlineStr">
        <is>
          <t>West</t>
        </is>
      </c>
      <c r="D118" t="inlineStr">
        <is>
          <t>Kavita Patil</t>
        </is>
      </c>
      <c r="E118" t="inlineStr">
        <is>
          <t>Smartphone</t>
        </is>
      </c>
      <c r="F118" t="inlineStr">
        <is>
          <t>Electronics</t>
        </is>
      </c>
      <c r="G118" s="3" t="n">
        <v>8</v>
      </c>
      <c r="H118" s="4" t="n">
        <v>22000</v>
      </c>
      <c r="I118" s="4" t="n">
        <v>176000</v>
      </c>
      <c r="J118" s="4" t="n">
        <v>116859</v>
      </c>
      <c r="K118" s="4" t="n">
        <v>59141</v>
      </c>
    </row>
    <row r="119">
      <c r="A119" t="inlineStr">
        <is>
          <t>ORD-1118</t>
        </is>
      </c>
      <c r="B119" s="2" t="n">
        <v>45751</v>
      </c>
      <c r="C119" t="inlineStr">
        <is>
          <t>East</t>
        </is>
      </c>
      <c r="D119" t="inlineStr">
        <is>
          <t>Anita Roy</t>
        </is>
      </c>
      <c r="E119" t="inlineStr">
        <is>
          <t>Laptop</t>
        </is>
      </c>
      <c r="F119" t="inlineStr">
        <is>
          <t>Electronics</t>
        </is>
      </c>
      <c r="G119" s="3" t="n">
        <v>8</v>
      </c>
      <c r="H119" s="4" t="n">
        <v>55000</v>
      </c>
      <c r="I119" s="4" t="n">
        <v>440000</v>
      </c>
      <c r="J119" s="4" t="n">
        <v>316884</v>
      </c>
      <c r="K119" s="4" t="n">
        <v>123116</v>
      </c>
    </row>
    <row r="120">
      <c r="A120" t="inlineStr">
        <is>
          <t>ORD-1119</t>
        </is>
      </c>
      <c r="B120" s="2" t="n">
        <v>45963</v>
      </c>
      <c r="C120" t="inlineStr">
        <is>
          <t>South</t>
        </is>
      </c>
      <c r="D120" t="inlineStr">
        <is>
          <t>Divya Menon</t>
        </is>
      </c>
      <c r="E120" t="inlineStr">
        <is>
          <t>Tablet</t>
        </is>
      </c>
      <c r="F120" t="inlineStr">
        <is>
          <t>Electronics</t>
        </is>
      </c>
      <c r="G120" s="3" t="n">
        <v>5</v>
      </c>
      <c r="H120" s="4" t="n">
        <v>18000</v>
      </c>
      <c r="I120" s="4" t="n">
        <v>90000</v>
      </c>
      <c r="J120" s="4" t="n">
        <v>55626</v>
      </c>
      <c r="K120" s="4" t="n">
        <v>34374</v>
      </c>
    </row>
    <row r="121">
      <c r="A121" t="inlineStr">
        <is>
          <t>ORD-1120</t>
        </is>
      </c>
      <c r="B121" s="2" t="n">
        <v>45866</v>
      </c>
      <c r="C121" t="inlineStr">
        <is>
          <t>North</t>
        </is>
      </c>
      <c r="D121" t="inlineStr">
        <is>
          <t>Priya Verma</t>
        </is>
      </c>
      <c r="E121" t="inlineStr">
        <is>
          <t>Headphones</t>
        </is>
      </c>
      <c r="F121" t="inlineStr">
        <is>
          <t>Accessories</t>
        </is>
      </c>
      <c r="G121" s="3" t="n">
        <v>4</v>
      </c>
      <c r="H121" s="4" t="n">
        <v>3500</v>
      </c>
      <c r="I121" s="4" t="n">
        <v>14000</v>
      </c>
      <c r="J121" s="4" t="n">
        <v>7940</v>
      </c>
      <c r="K121" s="4" t="n">
        <v>6060</v>
      </c>
    </row>
    <row r="122">
      <c r="A122" t="inlineStr">
        <is>
          <t>ORD-1121</t>
        </is>
      </c>
      <c r="B122" s="2" t="n">
        <v>45909</v>
      </c>
      <c r="C122" t="inlineStr">
        <is>
          <t>South</t>
        </is>
      </c>
      <c r="D122" t="inlineStr">
        <is>
          <t>Divya Menon</t>
        </is>
      </c>
      <c r="E122" t="inlineStr">
        <is>
          <t>Keyboard</t>
        </is>
      </c>
      <c r="F122" t="inlineStr">
        <is>
          <t>Accessories</t>
        </is>
      </c>
      <c r="G122" s="3" t="n">
        <v>8</v>
      </c>
      <c r="H122" s="4" t="n">
        <v>2500</v>
      </c>
      <c r="I122" s="4" t="n">
        <v>20000</v>
      </c>
      <c r="J122" s="4" t="n">
        <v>13584</v>
      </c>
      <c r="K122" s="4" t="n">
        <v>6416</v>
      </c>
    </row>
    <row r="123">
      <c r="A123" t="inlineStr">
        <is>
          <t>ORD-1122</t>
        </is>
      </c>
      <c r="B123" s="2" t="n">
        <v>46012</v>
      </c>
      <c r="C123" t="inlineStr">
        <is>
          <t>North</t>
        </is>
      </c>
      <c r="D123" t="inlineStr">
        <is>
          <t>Amit Sharma</t>
        </is>
      </c>
      <c r="E123" t="inlineStr">
        <is>
          <t>Laptop</t>
        </is>
      </c>
      <c r="F123" t="inlineStr">
        <is>
          <t>Electronics</t>
        </is>
      </c>
      <c r="G123" s="3" t="n">
        <v>5</v>
      </c>
      <c r="H123" s="4" t="n">
        <v>55000</v>
      </c>
      <c r="I123" s="4" t="n">
        <v>275000</v>
      </c>
      <c r="J123" s="4" t="n">
        <v>163438</v>
      </c>
      <c r="K123" s="4" t="n">
        <v>111562</v>
      </c>
    </row>
    <row r="124">
      <c r="A124" t="inlineStr">
        <is>
          <t>ORD-1123</t>
        </is>
      </c>
      <c r="B124" s="2" t="n">
        <v>45941</v>
      </c>
      <c r="C124" t="inlineStr">
        <is>
          <t>East</t>
        </is>
      </c>
      <c r="D124" t="inlineStr">
        <is>
          <t>Anita Roy</t>
        </is>
      </c>
      <c r="E124" t="inlineStr">
        <is>
          <t>Keyboard</t>
        </is>
      </c>
      <c r="F124" t="inlineStr">
        <is>
          <t>Accessories</t>
        </is>
      </c>
      <c r="G124" s="3" t="n">
        <v>10</v>
      </c>
      <c r="H124" s="4" t="n">
        <v>2500</v>
      </c>
      <c r="I124" s="4" t="n">
        <v>25000</v>
      </c>
      <c r="J124" s="4" t="n">
        <v>15595</v>
      </c>
      <c r="K124" s="4" t="n">
        <v>9405</v>
      </c>
    </row>
    <row r="125">
      <c r="A125" t="inlineStr">
        <is>
          <t>ORD-1124</t>
        </is>
      </c>
      <c r="B125" s="2" t="n">
        <v>46017</v>
      </c>
      <c r="C125" t="inlineStr">
        <is>
          <t>West</t>
        </is>
      </c>
      <c r="D125" t="inlineStr">
        <is>
          <t>Kavita Patil</t>
        </is>
      </c>
      <c r="E125" t="inlineStr">
        <is>
          <t>Keyboard</t>
        </is>
      </c>
      <c r="F125" t="inlineStr">
        <is>
          <t>Accessories</t>
        </is>
      </c>
      <c r="G125" s="3" t="n">
        <v>9</v>
      </c>
      <c r="H125" s="4" t="n">
        <v>2500</v>
      </c>
      <c r="I125" s="4" t="n">
        <v>22500</v>
      </c>
      <c r="J125" s="4" t="n">
        <v>13864</v>
      </c>
      <c r="K125" s="4" t="n">
        <v>8636</v>
      </c>
    </row>
    <row r="126">
      <c r="A126" t="inlineStr">
        <is>
          <t>ORD-1125</t>
        </is>
      </c>
      <c r="B126" s="2" t="n">
        <v>45756</v>
      </c>
      <c r="C126" t="inlineStr">
        <is>
          <t>East</t>
        </is>
      </c>
      <c r="D126" t="inlineStr">
        <is>
          <t>Anita Roy</t>
        </is>
      </c>
      <c r="E126" t="inlineStr">
        <is>
          <t>Tablet</t>
        </is>
      </c>
      <c r="F126" t="inlineStr">
        <is>
          <t>Electronics</t>
        </is>
      </c>
      <c r="G126" s="3" t="n">
        <v>5</v>
      </c>
      <c r="H126" s="4" t="n">
        <v>18000</v>
      </c>
      <c r="I126" s="4" t="n">
        <v>90000</v>
      </c>
      <c r="J126" s="4" t="n">
        <v>53650</v>
      </c>
      <c r="K126" s="4" t="n">
        <v>36350</v>
      </c>
    </row>
    <row r="127">
      <c r="A127" t="inlineStr">
        <is>
          <t>ORD-1126</t>
        </is>
      </c>
      <c r="B127" s="2" t="n">
        <v>46011</v>
      </c>
      <c r="C127" t="inlineStr">
        <is>
          <t>North</t>
        </is>
      </c>
      <c r="D127" t="inlineStr">
        <is>
          <t>Amit Sharma</t>
        </is>
      </c>
      <c r="E127" t="inlineStr">
        <is>
          <t>Keyboard</t>
        </is>
      </c>
      <c r="F127" t="inlineStr">
        <is>
          <t>Accessories</t>
        </is>
      </c>
      <c r="G127" s="3" t="n">
        <v>9</v>
      </c>
      <c r="H127" s="4" t="n">
        <v>2500</v>
      </c>
      <c r="I127" s="4" t="n">
        <v>22500</v>
      </c>
      <c r="J127" s="4" t="n">
        <v>16654</v>
      </c>
      <c r="K127" s="4" t="n">
        <v>5846</v>
      </c>
    </row>
    <row r="128">
      <c r="A128" t="inlineStr">
        <is>
          <t>ORD-1127</t>
        </is>
      </c>
      <c r="B128" s="2" t="n">
        <v>45959</v>
      </c>
      <c r="C128" t="inlineStr">
        <is>
          <t>South</t>
        </is>
      </c>
      <c r="D128" t="inlineStr">
        <is>
          <t>Divya Menon</t>
        </is>
      </c>
      <c r="E128" t="inlineStr">
        <is>
          <t>Smartphone</t>
        </is>
      </c>
      <c r="F128" t="inlineStr">
        <is>
          <t>Electronics</t>
        </is>
      </c>
      <c r="G128" s="3" t="n">
        <v>12</v>
      </c>
      <c r="H128" s="4" t="n">
        <v>22000</v>
      </c>
      <c r="I128" s="4" t="n">
        <v>264000</v>
      </c>
      <c r="J128" s="4" t="n">
        <v>170766</v>
      </c>
      <c r="K128" s="4" t="n">
        <v>93234</v>
      </c>
    </row>
    <row r="129">
      <c r="A129" t="inlineStr">
        <is>
          <t>ORD-1128</t>
        </is>
      </c>
      <c r="B129" s="2" t="n">
        <v>45749</v>
      </c>
      <c r="C129" t="inlineStr">
        <is>
          <t>North</t>
        </is>
      </c>
      <c r="D129" t="inlineStr">
        <is>
          <t>Priya Verma</t>
        </is>
      </c>
      <c r="E129" t="inlineStr">
        <is>
          <t>Smartphone</t>
        </is>
      </c>
      <c r="F129" t="inlineStr">
        <is>
          <t>Electronics</t>
        </is>
      </c>
      <c r="G129" s="3" t="n">
        <v>5</v>
      </c>
      <c r="H129" s="4" t="n">
        <v>22000</v>
      </c>
      <c r="I129" s="4" t="n">
        <v>110000</v>
      </c>
      <c r="J129" s="4" t="n">
        <v>65505</v>
      </c>
      <c r="K129" s="4" t="n">
        <v>44495</v>
      </c>
    </row>
    <row r="130">
      <c r="A130" t="inlineStr">
        <is>
          <t>ORD-1129</t>
        </is>
      </c>
      <c r="B130" s="2" t="n">
        <v>45681</v>
      </c>
      <c r="C130" t="inlineStr">
        <is>
          <t>North</t>
        </is>
      </c>
      <c r="D130" t="inlineStr">
        <is>
          <t>Amit Sharma</t>
        </is>
      </c>
      <c r="E130" t="inlineStr">
        <is>
          <t>Keyboard</t>
        </is>
      </c>
      <c r="F130" t="inlineStr">
        <is>
          <t>Accessories</t>
        </is>
      </c>
      <c r="G130" s="3" t="n">
        <v>9</v>
      </c>
      <c r="H130" s="4" t="n">
        <v>2500</v>
      </c>
      <c r="I130" s="4" t="n">
        <v>22500</v>
      </c>
      <c r="J130" s="4" t="n">
        <v>12945</v>
      </c>
      <c r="K130" s="4" t="n">
        <v>9555</v>
      </c>
    </row>
    <row r="131">
      <c r="A131" t="inlineStr">
        <is>
          <t>ORD-1130</t>
        </is>
      </c>
      <c r="B131" s="2" t="n">
        <v>45909</v>
      </c>
      <c r="C131" t="inlineStr">
        <is>
          <t>East</t>
        </is>
      </c>
      <c r="D131" t="inlineStr">
        <is>
          <t>Sourav Das</t>
        </is>
      </c>
      <c r="E131" t="inlineStr">
        <is>
          <t>Keyboard</t>
        </is>
      </c>
      <c r="F131" t="inlineStr">
        <is>
          <t>Accessories</t>
        </is>
      </c>
      <c r="G131" s="3" t="n">
        <v>3</v>
      </c>
      <c r="H131" s="4" t="n">
        <v>2500</v>
      </c>
      <c r="I131" s="4" t="n">
        <v>7500</v>
      </c>
      <c r="J131" s="4" t="n">
        <v>5082</v>
      </c>
      <c r="K131" s="4" t="n">
        <v>2418</v>
      </c>
    </row>
    <row r="132">
      <c r="A132" t="inlineStr">
        <is>
          <t>ORD-1131</t>
        </is>
      </c>
      <c r="B132" s="2" t="n">
        <v>45883</v>
      </c>
      <c r="C132" t="inlineStr">
        <is>
          <t>North</t>
        </is>
      </c>
      <c r="D132" t="inlineStr">
        <is>
          <t>Priya Verma</t>
        </is>
      </c>
      <c r="E132" t="inlineStr">
        <is>
          <t>Headphones</t>
        </is>
      </c>
      <c r="F132" t="inlineStr">
        <is>
          <t>Accessories</t>
        </is>
      </c>
      <c r="G132" s="3" t="n">
        <v>5</v>
      </c>
      <c r="H132" s="4" t="n">
        <v>3500</v>
      </c>
      <c r="I132" s="4" t="n">
        <v>17500</v>
      </c>
      <c r="J132" s="4" t="n">
        <v>11268</v>
      </c>
      <c r="K132" s="4" t="n">
        <v>6232</v>
      </c>
    </row>
    <row r="133">
      <c r="A133" t="inlineStr">
        <is>
          <t>ORD-1132</t>
        </is>
      </c>
      <c r="B133" s="2" t="n">
        <v>45902</v>
      </c>
      <c r="C133" t="inlineStr">
        <is>
          <t>South</t>
        </is>
      </c>
      <c r="D133" t="inlineStr">
        <is>
          <t>Ravi Nair</t>
        </is>
      </c>
      <c r="E133" t="inlineStr">
        <is>
          <t>Laptop</t>
        </is>
      </c>
      <c r="F133" t="inlineStr">
        <is>
          <t>Electronics</t>
        </is>
      </c>
      <c r="G133" s="3" t="n">
        <v>5</v>
      </c>
      <c r="H133" s="4" t="n">
        <v>55000</v>
      </c>
      <c r="I133" s="4" t="n">
        <v>275000</v>
      </c>
      <c r="J133" s="4" t="n">
        <v>203008</v>
      </c>
      <c r="K133" s="4" t="n">
        <v>71992</v>
      </c>
    </row>
    <row r="134">
      <c r="A134" t="inlineStr">
        <is>
          <t>ORD-1133</t>
        </is>
      </c>
      <c r="B134" s="2" t="n">
        <v>45980</v>
      </c>
      <c r="C134" t="inlineStr">
        <is>
          <t>North</t>
        </is>
      </c>
      <c r="D134" t="inlineStr">
        <is>
          <t>Amit Sharma</t>
        </is>
      </c>
      <c r="E134" t="inlineStr">
        <is>
          <t>Monitor</t>
        </is>
      </c>
      <c r="F134" t="inlineStr">
        <is>
          <t>Electronics</t>
        </is>
      </c>
      <c r="G134" s="3" t="n">
        <v>8</v>
      </c>
      <c r="H134" s="4" t="n">
        <v>14000</v>
      </c>
      <c r="I134" s="4" t="n">
        <v>112000</v>
      </c>
      <c r="J134" s="4" t="n">
        <v>63259</v>
      </c>
      <c r="K134" s="4" t="n">
        <v>48741</v>
      </c>
    </row>
    <row r="135">
      <c r="A135" t="inlineStr">
        <is>
          <t>ORD-1134</t>
        </is>
      </c>
      <c r="B135" s="2" t="n">
        <v>45701</v>
      </c>
      <c r="C135" t="inlineStr">
        <is>
          <t>South</t>
        </is>
      </c>
      <c r="D135" t="inlineStr">
        <is>
          <t>Ravi Nair</t>
        </is>
      </c>
      <c r="E135" t="inlineStr">
        <is>
          <t>Smartphone</t>
        </is>
      </c>
      <c r="F135" t="inlineStr">
        <is>
          <t>Electronics</t>
        </is>
      </c>
      <c r="G135" s="3" t="n">
        <v>10</v>
      </c>
      <c r="H135" s="4" t="n">
        <v>22000</v>
      </c>
      <c r="I135" s="4" t="n">
        <v>220000</v>
      </c>
      <c r="J135" s="4" t="n">
        <v>162762</v>
      </c>
      <c r="K135" s="4" t="n">
        <v>57238</v>
      </c>
    </row>
    <row r="136">
      <c r="A136" t="inlineStr">
        <is>
          <t>ORD-1135</t>
        </is>
      </c>
      <c r="B136" s="2" t="n">
        <v>45974</v>
      </c>
      <c r="C136" t="inlineStr">
        <is>
          <t>North</t>
        </is>
      </c>
      <c r="D136" t="inlineStr">
        <is>
          <t>Amit Sharma</t>
        </is>
      </c>
      <c r="E136" t="inlineStr">
        <is>
          <t>Headphones</t>
        </is>
      </c>
      <c r="F136" t="inlineStr">
        <is>
          <t>Accessories</t>
        </is>
      </c>
      <c r="G136" s="3" t="n">
        <v>7</v>
      </c>
      <c r="H136" s="4" t="n">
        <v>3500</v>
      </c>
      <c r="I136" s="4" t="n">
        <v>24500</v>
      </c>
      <c r="J136" s="4" t="n">
        <v>16446</v>
      </c>
      <c r="K136" s="4" t="n">
        <v>8054</v>
      </c>
    </row>
    <row r="137">
      <c r="A137" t="inlineStr">
        <is>
          <t>ORD-1136</t>
        </is>
      </c>
      <c r="B137" s="2" t="n">
        <v>45959</v>
      </c>
      <c r="C137" t="inlineStr">
        <is>
          <t>West</t>
        </is>
      </c>
      <c r="D137" t="inlineStr">
        <is>
          <t>Kavita Patil</t>
        </is>
      </c>
      <c r="E137" t="inlineStr">
        <is>
          <t>Monitor</t>
        </is>
      </c>
      <c r="F137" t="inlineStr">
        <is>
          <t>Electronics</t>
        </is>
      </c>
      <c r="G137" s="3" t="n">
        <v>8</v>
      </c>
      <c r="H137" s="4" t="n">
        <v>14000</v>
      </c>
      <c r="I137" s="4" t="n">
        <v>112000</v>
      </c>
      <c r="J137" s="4" t="n">
        <v>68261</v>
      </c>
      <c r="K137" s="4" t="n">
        <v>43739</v>
      </c>
    </row>
    <row r="138">
      <c r="A138" t="inlineStr">
        <is>
          <t>ORD-1137</t>
        </is>
      </c>
      <c r="B138" s="2" t="n">
        <v>45708</v>
      </c>
      <c r="C138" t="inlineStr">
        <is>
          <t>East</t>
        </is>
      </c>
      <c r="D138" t="inlineStr">
        <is>
          <t>Sourav Das</t>
        </is>
      </c>
      <c r="E138" t="inlineStr">
        <is>
          <t>Headphones</t>
        </is>
      </c>
      <c r="F138" t="inlineStr">
        <is>
          <t>Accessories</t>
        </is>
      </c>
      <c r="G138" s="3" t="n">
        <v>10</v>
      </c>
      <c r="H138" s="4" t="n">
        <v>3500</v>
      </c>
      <c r="I138" s="4" t="n">
        <v>35000</v>
      </c>
      <c r="J138" s="4" t="n">
        <v>19672</v>
      </c>
      <c r="K138" s="4" t="n">
        <v>15328</v>
      </c>
    </row>
    <row r="139">
      <c r="A139" t="inlineStr">
        <is>
          <t>ORD-1138</t>
        </is>
      </c>
      <c r="B139" s="2" t="n">
        <v>45780</v>
      </c>
      <c r="C139" t="inlineStr">
        <is>
          <t>South</t>
        </is>
      </c>
      <c r="D139" t="inlineStr">
        <is>
          <t>Ravi Nair</t>
        </is>
      </c>
      <c r="E139" t="inlineStr">
        <is>
          <t>Tablet</t>
        </is>
      </c>
      <c r="F139" t="inlineStr">
        <is>
          <t>Electronics</t>
        </is>
      </c>
      <c r="G139" s="3" t="n">
        <v>11</v>
      </c>
      <c r="H139" s="4" t="n">
        <v>18000</v>
      </c>
      <c r="I139" s="4" t="n">
        <v>198000</v>
      </c>
      <c r="J139" s="4" t="n">
        <v>112115</v>
      </c>
      <c r="K139" s="4" t="n">
        <v>85885</v>
      </c>
    </row>
    <row r="140">
      <c r="A140" t="inlineStr">
        <is>
          <t>ORD-1139</t>
        </is>
      </c>
      <c r="B140" s="2" t="n">
        <v>46010</v>
      </c>
      <c r="C140" t="inlineStr">
        <is>
          <t>North</t>
        </is>
      </c>
      <c r="D140" t="inlineStr">
        <is>
          <t>Priya Verma</t>
        </is>
      </c>
      <c r="E140" t="inlineStr">
        <is>
          <t>Smartphone</t>
        </is>
      </c>
      <c r="F140" t="inlineStr">
        <is>
          <t>Electronics</t>
        </is>
      </c>
      <c r="G140" s="3" t="n">
        <v>1</v>
      </c>
      <c r="H140" s="4" t="n">
        <v>22000</v>
      </c>
      <c r="I140" s="4" t="n">
        <v>22000</v>
      </c>
      <c r="J140" s="4" t="n">
        <v>13897</v>
      </c>
      <c r="K140" s="4" t="n">
        <v>8103</v>
      </c>
    </row>
    <row r="141">
      <c r="A141" t="inlineStr">
        <is>
          <t>ORD-1140</t>
        </is>
      </c>
      <c r="B141" s="2" t="n">
        <v>45802</v>
      </c>
      <c r="C141" t="inlineStr">
        <is>
          <t>East</t>
        </is>
      </c>
      <c r="D141" t="inlineStr">
        <is>
          <t>Anita Roy</t>
        </is>
      </c>
      <c r="E141" t="inlineStr">
        <is>
          <t>Laptop</t>
        </is>
      </c>
      <c r="F141" t="inlineStr">
        <is>
          <t>Electronics</t>
        </is>
      </c>
      <c r="G141" s="3" t="n">
        <v>4</v>
      </c>
      <c r="H141" s="4" t="n">
        <v>55000</v>
      </c>
      <c r="I141" s="4" t="n">
        <v>220000</v>
      </c>
      <c r="J141" s="4" t="n">
        <v>133677</v>
      </c>
      <c r="K141" s="4" t="n">
        <v>86323</v>
      </c>
    </row>
    <row r="142">
      <c r="A142" t="inlineStr">
        <is>
          <t>ORD-1141</t>
        </is>
      </c>
      <c r="B142" s="2" t="n">
        <v>45978</v>
      </c>
      <c r="C142" t="inlineStr">
        <is>
          <t>North</t>
        </is>
      </c>
      <c r="D142" t="inlineStr">
        <is>
          <t>Amit Sharma</t>
        </is>
      </c>
      <c r="E142" t="inlineStr">
        <is>
          <t>Keyboard</t>
        </is>
      </c>
      <c r="F142" t="inlineStr">
        <is>
          <t>Accessories</t>
        </is>
      </c>
      <c r="G142" s="3" t="n">
        <v>4</v>
      </c>
      <c r="H142" s="4" t="n">
        <v>2500</v>
      </c>
      <c r="I142" s="4" t="n">
        <v>10000</v>
      </c>
      <c r="J142" s="4" t="n">
        <v>7348</v>
      </c>
      <c r="K142" s="4" t="n">
        <v>2652</v>
      </c>
    </row>
    <row r="143">
      <c r="A143" t="inlineStr">
        <is>
          <t>ORD-1142</t>
        </is>
      </c>
      <c r="B143" s="2" t="n">
        <v>45734</v>
      </c>
      <c r="C143" t="inlineStr">
        <is>
          <t>West</t>
        </is>
      </c>
      <c r="D143" t="inlineStr">
        <is>
          <t>Kavita Patil</t>
        </is>
      </c>
      <c r="E143" t="inlineStr">
        <is>
          <t>Laptop</t>
        </is>
      </c>
      <c r="F143" t="inlineStr">
        <is>
          <t>Electronics</t>
        </is>
      </c>
      <c r="G143" s="3" t="n">
        <v>9</v>
      </c>
      <c r="H143" s="4" t="n">
        <v>55000</v>
      </c>
      <c r="I143" s="4" t="n">
        <v>495000</v>
      </c>
      <c r="J143" s="4" t="n">
        <v>294506</v>
      </c>
      <c r="K143" s="4" t="n">
        <v>200494</v>
      </c>
    </row>
    <row r="144">
      <c r="A144" t="inlineStr">
        <is>
          <t>ORD-1143</t>
        </is>
      </c>
      <c r="B144" s="2" t="n">
        <v>45815</v>
      </c>
      <c r="C144" t="inlineStr">
        <is>
          <t>South</t>
        </is>
      </c>
      <c r="D144" t="inlineStr">
        <is>
          <t>Divya Menon</t>
        </is>
      </c>
      <c r="E144" t="inlineStr">
        <is>
          <t>Laptop</t>
        </is>
      </c>
      <c r="F144" t="inlineStr">
        <is>
          <t>Electronics</t>
        </is>
      </c>
      <c r="G144" s="3" t="n">
        <v>1</v>
      </c>
      <c r="H144" s="4" t="n">
        <v>55000</v>
      </c>
      <c r="I144" s="4" t="n">
        <v>55000</v>
      </c>
      <c r="J144" s="4" t="n">
        <v>32075</v>
      </c>
      <c r="K144" s="4" t="n">
        <v>22925</v>
      </c>
    </row>
    <row r="145">
      <c r="A145" t="inlineStr">
        <is>
          <t>ORD-1144</t>
        </is>
      </c>
      <c r="B145" s="2" t="n">
        <v>46016</v>
      </c>
      <c r="C145" t="inlineStr">
        <is>
          <t>West</t>
        </is>
      </c>
      <c r="D145" t="inlineStr">
        <is>
          <t>Kavita Patil</t>
        </is>
      </c>
      <c r="E145" t="inlineStr">
        <is>
          <t>Laptop</t>
        </is>
      </c>
      <c r="F145" t="inlineStr">
        <is>
          <t>Electronics</t>
        </is>
      </c>
      <c r="G145" s="3" t="n">
        <v>8</v>
      </c>
      <c r="H145" s="4" t="n">
        <v>55000</v>
      </c>
      <c r="I145" s="4" t="n">
        <v>440000</v>
      </c>
      <c r="J145" s="4" t="n">
        <v>302604</v>
      </c>
      <c r="K145" s="4" t="n">
        <v>137396</v>
      </c>
    </row>
    <row r="146">
      <c r="A146" t="inlineStr">
        <is>
          <t>ORD-1145</t>
        </is>
      </c>
      <c r="B146" s="2" t="n">
        <v>45699</v>
      </c>
      <c r="C146" t="inlineStr">
        <is>
          <t>East</t>
        </is>
      </c>
      <c r="D146" t="inlineStr">
        <is>
          <t>Sourav Das</t>
        </is>
      </c>
      <c r="E146" t="inlineStr">
        <is>
          <t>Headphones</t>
        </is>
      </c>
      <c r="F146" t="inlineStr">
        <is>
          <t>Accessories</t>
        </is>
      </c>
      <c r="G146" s="3" t="n">
        <v>9</v>
      </c>
      <c r="H146" s="4" t="n">
        <v>3500</v>
      </c>
      <c r="I146" s="4" t="n">
        <v>31500</v>
      </c>
      <c r="J146" s="4" t="n">
        <v>20436</v>
      </c>
      <c r="K146" s="4" t="n">
        <v>11064</v>
      </c>
    </row>
    <row r="147">
      <c r="A147" t="inlineStr">
        <is>
          <t>ORD-1146</t>
        </is>
      </c>
      <c r="B147" s="2" t="n">
        <v>45671</v>
      </c>
      <c r="C147" t="inlineStr">
        <is>
          <t>West</t>
        </is>
      </c>
      <c r="D147" t="inlineStr">
        <is>
          <t>Vikram Mehta</t>
        </is>
      </c>
      <c r="E147" t="inlineStr">
        <is>
          <t>Keyboard</t>
        </is>
      </c>
      <c r="F147" t="inlineStr">
        <is>
          <t>Accessories</t>
        </is>
      </c>
      <c r="G147" s="3" t="n">
        <v>6</v>
      </c>
      <c r="H147" s="4" t="n">
        <v>2500</v>
      </c>
      <c r="I147" s="4" t="n">
        <v>15000</v>
      </c>
      <c r="J147" s="4" t="n">
        <v>10061</v>
      </c>
      <c r="K147" s="4" t="n">
        <v>4939</v>
      </c>
    </row>
    <row r="148">
      <c r="A148" t="inlineStr">
        <is>
          <t>ORD-1147</t>
        </is>
      </c>
      <c r="B148" s="2" t="n">
        <v>45668</v>
      </c>
      <c r="C148" t="inlineStr">
        <is>
          <t>South</t>
        </is>
      </c>
      <c r="D148" t="inlineStr">
        <is>
          <t>Divya Menon</t>
        </is>
      </c>
      <c r="E148" t="inlineStr">
        <is>
          <t>Keyboard</t>
        </is>
      </c>
      <c r="F148" t="inlineStr">
        <is>
          <t>Accessories</t>
        </is>
      </c>
      <c r="G148" s="3" t="n">
        <v>10</v>
      </c>
      <c r="H148" s="4" t="n">
        <v>2500</v>
      </c>
      <c r="I148" s="4" t="n">
        <v>25000</v>
      </c>
      <c r="J148" s="4" t="n">
        <v>16686</v>
      </c>
      <c r="K148" s="4" t="n">
        <v>8314</v>
      </c>
    </row>
    <row r="149">
      <c r="A149" t="inlineStr">
        <is>
          <t>ORD-1148</t>
        </is>
      </c>
      <c r="B149" s="2" t="n">
        <v>45884</v>
      </c>
      <c r="C149" t="inlineStr">
        <is>
          <t>North</t>
        </is>
      </c>
      <c r="D149" t="inlineStr">
        <is>
          <t>Priya Verma</t>
        </is>
      </c>
      <c r="E149" t="inlineStr">
        <is>
          <t>Smartphone</t>
        </is>
      </c>
      <c r="F149" t="inlineStr">
        <is>
          <t>Electronics</t>
        </is>
      </c>
      <c r="G149" s="3" t="n">
        <v>8</v>
      </c>
      <c r="H149" s="4" t="n">
        <v>22000</v>
      </c>
      <c r="I149" s="4" t="n">
        <v>176000</v>
      </c>
      <c r="J149" s="4" t="n">
        <v>115068</v>
      </c>
      <c r="K149" s="4" t="n">
        <v>60932</v>
      </c>
    </row>
    <row r="150">
      <c r="A150" t="inlineStr">
        <is>
          <t>ORD-1149</t>
        </is>
      </c>
      <c r="B150" s="2" t="n">
        <v>45909</v>
      </c>
      <c r="C150" t="inlineStr">
        <is>
          <t>South</t>
        </is>
      </c>
      <c r="D150" t="inlineStr">
        <is>
          <t>Ravi Nair</t>
        </is>
      </c>
      <c r="E150" t="inlineStr">
        <is>
          <t>Headphones</t>
        </is>
      </c>
      <c r="F150" t="inlineStr">
        <is>
          <t>Accessories</t>
        </is>
      </c>
      <c r="G150" s="3" t="n">
        <v>7</v>
      </c>
      <c r="H150" s="4" t="n">
        <v>3500</v>
      </c>
      <c r="I150" s="4" t="n">
        <v>24500</v>
      </c>
      <c r="J150" s="4" t="n">
        <v>16585</v>
      </c>
      <c r="K150" s="4" t="n">
        <v>7915</v>
      </c>
    </row>
    <row r="151">
      <c r="A151" t="inlineStr">
        <is>
          <t>ORD-1150</t>
        </is>
      </c>
      <c r="B151" s="2" t="n">
        <v>46001</v>
      </c>
      <c r="C151" t="inlineStr">
        <is>
          <t>West</t>
        </is>
      </c>
      <c r="D151" t="inlineStr">
        <is>
          <t>Vikram Mehta</t>
        </is>
      </c>
      <c r="E151" t="inlineStr">
        <is>
          <t>Tablet</t>
        </is>
      </c>
      <c r="F151" t="inlineStr">
        <is>
          <t>Electronics</t>
        </is>
      </c>
      <c r="G151" s="3" t="n">
        <v>7</v>
      </c>
      <c r="H151" s="4" t="n">
        <v>18000</v>
      </c>
      <c r="I151" s="4" t="n">
        <v>126000</v>
      </c>
      <c r="J151" s="4" t="n">
        <v>77699</v>
      </c>
      <c r="K151" s="4" t="n">
        <v>48301</v>
      </c>
    </row>
    <row r="152">
      <c r="A152" t="inlineStr">
        <is>
          <t>ORD-1151</t>
        </is>
      </c>
      <c r="B152" s="2" t="n">
        <v>45805</v>
      </c>
      <c r="C152" t="inlineStr">
        <is>
          <t>South</t>
        </is>
      </c>
      <c r="D152" t="inlineStr">
        <is>
          <t>Divya Menon</t>
        </is>
      </c>
      <c r="E152" t="inlineStr">
        <is>
          <t>Tablet</t>
        </is>
      </c>
      <c r="F152" t="inlineStr">
        <is>
          <t>Electronics</t>
        </is>
      </c>
      <c r="G152" s="3" t="n">
        <v>7</v>
      </c>
      <c r="H152" s="4" t="n">
        <v>18000</v>
      </c>
      <c r="I152" s="4" t="n">
        <v>126000</v>
      </c>
      <c r="J152" s="4" t="n">
        <v>86781</v>
      </c>
      <c r="K152" s="4" t="n">
        <v>39219</v>
      </c>
    </row>
    <row r="153">
      <c r="A153" t="inlineStr">
        <is>
          <t>ORD-1152</t>
        </is>
      </c>
      <c r="B153" s="2" t="n">
        <v>45823</v>
      </c>
      <c r="C153" t="inlineStr">
        <is>
          <t>North</t>
        </is>
      </c>
      <c r="D153" t="inlineStr">
        <is>
          <t>Amit Sharma</t>
        </is>
      </c>
      <c r="E153" t="inlineStr">
        <is>
          <t>Monitor</t>
        </is>
      </c>
      <c r="F153" t="inlineStr">
        <is>
          <t>Electronics</t>
        </is>
      </c>
      <c r="G153" s="3" t="n">
        <v>2</v>
      </c>
      <c r="H153" s="4" t="n">
        <v>14000</v>
      </c>
      <c r="I153" s="4" t="n">
        <v>28000</v>
      </c>
      <c r="J153" s="4" t="n">
        <v>17161</v>
      </c>
      <c r="K153" s="4" t="n">
        <v>10839</v>
      </c>
    </row>
    <row r="154">
      <c r="A154" t="inlineStr">
        <is>
          <t>ORD-1153</t>
        </is>
      </c>
      <c r="B154" s="2" t="n">
        <v>45935</v>
      </c>
      <c r="C154" t="inlineStr">
        <is>
          <t>West</t>
        </is>
      </c>
      <c r="D154" t="inlineStr">
        <is>
          <t>Kavita Patil</t>
        </is>
      </c>
      <c r="E154" t="inlineStr">
        <is>
          <t>Headphones</t>
        </is>
      </c>
      <c r="F154" t="inlineStr">
        <is>
          <t>Accessories</t>
        </is>
      </c>
      <c r="G154" s="3" t="n">
        <v>1</v>
      </c>
      <c r="H154" s="4" t="n">
        <v>3500</v>
      </c>
      <c r="I154" s="4" t="n">
        <v>3500</v>
      </c>
      <c r="J154" s="4" t="n">
        <v>2385</v>
      </c>
      <c r="K154" s="4" t="n">
        <v>1115</v>
      </c>
    </row>
    <row r="155">
      <c r="A155" t="inlineStr">
        <is>
          <t>ORD-1154</t>
        </is>
      </c>
      <c r="B155" s="2" t="n">
        <v>45976</v>
      </c>
      <c r="C155" t="inlineStr">
        <is>
          <t>West</t>
        </is>
      </c>
      <c r="D155" t="inlineStr">
        <is>
          <t>Kavita Patil</t>
        </is>
      </c>
      <c r="E155" t="inlineStr">
        <is>
          <t>Laptop</t>
        </is>
      </c>
      <c r="F155" t="inlineStr">
        <is>
          <t>Electronics</t>
        </is>
      </c>
      <c r="G155" s="3" t="n">
        <v>4</v>
      </c>
      <c r="H155" s="4" t="n">
        <v>55000</v>
      </c>
      <c r="I155" s="4" t="n">
        <v>220000</v>
      </c>
      <c r="J155" s="4" t="n">
        <v>143811</v>
      </c>
      <c r="K155" s="4" t="n">
        <v>76189</v>
      </c>
    </row>
    <row r="156">
      <c r="A156" t="inlineStr">
        <is>
          <t>ORD-1155</t>
        </is>
      </c>
      <c r="B156" s="2" t="n">
        <v>45725</v>
      </c>
      <c r="C156" t="inlineStr">
        <is>
          <t>West</t>
        </is>
      </c>
      <c r="D156" t="inlineStr">
        <is>
          <t>Kavita Patil</t>
        </is>
      </c>
      <c r="E156" t="inlineStr">
        <is>
          <t>Laptop</t>
        </is>
      </c>
      <c r="F156" t="inlineStr">
        <is>
          <t>Electronics</t>
        </is>
      </c>
      <c r="G156" s="3" t="n">
        <v>4</v>
      </c>
      <c r="H156" s="4" t="n">
        <v>55000</v>
      </c>
      <c r="I156" s="4" t="n">
        <v>220000</v>
      </c>
      <c r="J156" s="4" t="n">
        <v>132750</v>
      </c>
      <c r="K156" s="4" t="n">
        <v>87250</v>
      </c>
    </row>
    <row r="157">
      <c r="A157" t="inlineStr">
        <is>
          <t>ORD-1156</t>
        </is>
      </c>
      <c r="B157" s="2" t="n">
        <v>45980</v>
      </c>
      <c r="C157" t="inlineStr">
        <is>
          <t>West</t>
        </is>
      </c>
      <c r="D157" t="inlineStr">
        <is>
          <t>Vikram Mehta</t>
        </is>
      </c>
      <c r="E157" t="inlineStr">
        <is>
          <t>Keyboard</t>
        </is>
      </c>
      <c r="F157" t="inlineStr">
        <is>
          <t>Accessories</t>
        </is>
      </c>
      <c r="G157" s="3" t="n">
        <v>8</v>
      </c>
      <c r="H157" s="4" t="n">
        <v>2500</v>
      </c>
      <c r="I157" s="4" t="n">
        <v>20000</v>
      </c>
      <c r="J157" s="4" t="n">
        <v>11486</v>
      </c>
      <c r="K157" s="4" t="n">
        <v>8514</v>
      </c>
    </row>
    <row r="158">
      <c r="A158" t="inlineStr">
        <is>
          <t>ORD-1157</t>
        </is>
      </c>
      <c r="B158" s="2" t="n">
        <v>45866</v>
      </c>
      <c r="C158" t="inlineStr">
        <is>
          <t>South</t>
        </is>
      </c>
      <c r="D158" t="inlineStr">
        <is>
          <t>Ravi Nair</t>
        </is>
      </c>
      <c r="E158" t="inlineStr">
        <is>
          <t>Tablet</t>
        </is>
      </c>
      <c r="F158" t="inlineStr">
        <is>
          <t>Electronics</t>
        </is>
      </c>
      <c r="G158" s="3" t="n">
        <v>9</v>
      </c>
      <c r="H158" s="4" t="n">
        <v>18000</v>
      </c>
      <c r="I158" s="4" t="n">
        <v>162000</v>
      </c>
      <c r="J158" s="4" t="n">
        <v>89543</v>
      </c>
      <c r="K158" s="4" t="n">
        <v>72457</v>
      </c>
    </row>
    <row r="159">
      <c r="A159" t="inlineStr">
        <is>
          <t>ORD-1158</t>
        </is>
      </c>
      <c r="B159" s="2" t="n">
        <v>45989</v>
      </c>
      <c r="C159" t="inlineStr">
        <is>
          <t>South</t>
        </is>
      </c>
      <c r="D159" t="inlineStr">
        <is>
          <t>Ravi Nair</t>
        </is>
      </c>
      <c r="E159" t="inlineStr">
        <is>
          <t>Laptop</t>
        </is>
      </c>
      <c r="F159" t="inlineStr">
        <is>
          <t>Electronics</t>
        </is>
      </c>
      <c r="G159" s="3" t="n">
        <v>8</v>
      </c>
      <c r="H159" s="4" t="n">
        <v>55000</v>
      </c>
      <c r="I159" s="4" t="n">
        <v>440000</v>
      </c>
      <c r="J159" s="4" t="n">
        <v>325341</v>
      </c>
      <c r="K159" s="4" t="n">
        <v>114659</v>
      </c>
    </row>
    <row r="160">
      <c r="A160" t="inlineStr">
        <is>
          <t>ORD-1159</t>
        </is>
      </c>
      <c r="B160" s="2" t="n">
        <v>45797</v>
      </c>
      <c r="C160" t="inlineStr">
        <is>
          <t>West</t>
        </is>
      </c>
      <c r="D160" t="inlineStr">
        <is>
          <t>Kavita Patil</t>
        </is>
      </c>
      <c r="E160" t="inlineStr">
        <is>
          <t>Keyboard</t>
        </is>
      </c>
      <c r="F160" t="inlineStr">
        <is>
          <t>Accessories</t>
        </is>
      </c>
      <c r="G160" s="3" t="n">
        <v>5</v>
      </c>
      <c r="H160" s="4" t="n">
        <v>2500</v>
      </c>
      <c r="I160" s="4" t="n">
        <v>12500</v>
      </c>
      <c r="J160" s="4" t="n">
        <v>8147</v>
      </c>
      <c r="K160" s="4" t="n">
        <v>4353</v>
      </c>
    </row>
    <row r="161">
      <c r="A161" t="inlineStr">
        <is>
          <t>ORD-1160</t>
        </is>
      </c>
      <c r="B161" s="2" t="n">
        <v>45732</v>
      </c>
      <c r="C161" t="inlineStr">
        <is>
          <t>West</t>
        </is>
      </c>
      <c r="D161" t="inlineStr">
        <is>
          <t>Kavita Patil</t>
        </is>
      </c>
      <c r="E161" t="inlineStr">
        <is>
          <t>Monitor</t>
        </is>
      </c>
      <c r="F161" t="inlineStr">
        <is>
          <t>Electronics</t>
        </is>
      </c>
      <c r="G161" s="3" t="n">
        <v>4</v>
      </c>
      <c r="H161" s="4" t="n">
        <v>14000</v>
      </c>
      <c r="I161" s="4" t="n">
        <v>56000</v>
      </c>
      <c r="J161" s="4" t="n">
        <v>35916</v>
      </c>
      <c r="K161" s="4" t="n">
        <v>20084</v>
      </c>
    </row>
    <row r="162">
      <c r="A162" t="inlineStr">
        <is>
          <t>ORD-1161</t>
        </is>
      </c>
      <c r="B162" s="2" t="n">
        <v>45727</v>
      </c>
      <c r="C162" t="inlineStr">
        <is>
          <t>South</t>
        </is>
      </c>
      <c r="D162" t="inlineStr">
        <is>
          <t>Ravi Nair</t>
        </is>
      </c>
      <c r="E162" t="inlineStr">
        <is>
          <t>Headphones</t>
        </is>
      </c>
      <c r="F162" t="inlineStr">
        <is>
          <t>Accessories</t>
        </is>
      </c>
      <c r="G162" s="3" t="n">
        <v>9</v>
      </c>
      <c r="H162" s="4" t="n">
        <v>3500</v>
      </c>
      <c r="I162" s="4" t="n">
        <v>31500</v>
      </c>
      <c r="J162" s="4" t="n">
        <v>22027</v>
      </c>
      <c r="K162" s="4" t="n">
        <v>9473</v>
      </c>
    </row>
    <row r="163">
      <c r="A163" t="inlineStr">
        <is>
          <t>ORD-1162</t>
        </is>
      </c>
      <c r="B163" s="2" t="n">
        <v>45917</v>
      </c>
      <c r="C163" t="inlineStr">
        <is>
          <t>East</t>
        </is>
      </c>
      <c r="D163" t="inlineStr">
        <is>
          <t>Anita Roy</t>
        </is>
      </c>
      <c r="E163" t="inlineStr">
        <is>
          <t>Monitor</t>
        </is>
      </c>
      <c r="F163" t="inlineStr">
        <is>
          <t>Electronics</t>
        </is>
      </c>
      <c r="G163" s="3" t="n">
        <v>6</v>
      </c>
      <c r="H163" s="4" t="n">
        <v>14000</v>
      </c>
      <c r="I163" s="4" t="n">
        <v>84000</v>
      </c>
      <c r="J163" s="4" t="n">
        <v>61895</v>
      </c>
      <c r="K163" s="4" t="n">
        <v>22105</v>
      </c>
    </row>
    <row r="164">
      <c r="A164" t="inlineStr">
        <is>
          <t>ORD-1163</t>
        </is>
      </c>
      <c r="B164" s="2" t="n">
        <v>45958</v>
      </c>
      <c r="C164" t="inlineStr">
        <is>
          <t>North</t>
        </is>
      </c>
      <c r="D164" t="inlineStr">
        <is>
          <t>Priya Verma</t>
        </is>
      </c>
      <c r="E164" t="inlineStr">
        <is>
          <t>Tablet</t>
        </is>
      </c>
      <c r="F164" t="inlineStr">
        <is>
          <t>Electronics</t>
        </is>
      </c>
      <c r="G164" s="3" t="n">
        <v>12</v>
      </c>
      <c r="H164" s="4" t="n">
        <v>18000</v>
      </c>
      <c r="I164" s="4" t="n">
        <v>216000</v>
      </c>
      <c r="J164" s="4" t="n">
        <v>131698</v>
      </c>
      <c r="K164" s="4" t="n">
        <v>84302</v>
      </c>
    </row>
    <row r="165">
      <c r="A165" t="inlineStr">
        <is>
          <t>ORD-1164</t>
        </is>
      </c>
      <c r="B165" s="2" t="n">
        <v>45828</v>
      </c>
      <c r="C165" t="inlineStr">
        <is>
          <t>South</t>
        </is>
      </c>
      <c r="D165" t="inlineStr">
        <is>
          <t>Divya Menon</t>
        </is>
      </c>
      <c r="E165" t="inlineStr">
        <is>
          <t>Monitor</t>
        </is>
      </c>
      <c r="F165" t="inlineStr">
        <is>
          <t>Electronics</t>
        </is>
      </c>
      <c r="G165" s="3" t="n">
        <v>9</v>
      </c>
      <c r="H165" s="4" t="n">
        <v>14000</v>
      </c>
      <c r="I165" s="4" t="n">
        <v>126000</v>
      </c>
      <c r="J165" s="4" t="n">
        <v>81505</v>
      </c>
      <c r="K165" s="4" t="n">
        <v>44495</v>
      </c>
    </row>
    <row r="166">
      <c r="A166" t="inlineStr">
        <is>
          <t>ORD-1165</t>
        </is>
      </c>
      <c r="B166" s="2" t="n">
        <v>45780</v>
      </c>
      <c r="C166" t="inlineStr">
        <is>
          <t>West</t>
        </is>
      </c>
      <c r="D166" t="inlineStr">
        <is>
          <t>Kavita Patil</t>
        </is>
      </c>
      <c r="E166" t="inlineStr">
        <is>
          <t>Tablet</t>
        </is>
      </c>
      <c r="F166" t="inlineStr">
        <is>
          <t>Electronics</t>
        </is>
      </c>
      <c r="G166" s="3" t="n">
        <v>4</v>
      </c>
      <c r="H166" s="4" t="n">
        <v>18000</v>
      </c>
      <c r="I166" s="4" t="n">
        <v>72000</v>
      </c>
      <c r="J166" s="4" t="n">
        <v>53723</v>
      </c>
      <c r="K166" s="4" t="n">
        <v>18277</v>
      </c>
    </row>
    <row r="167">
      <c r="A167" t="inlineStr">
        <is>
          <t>ORD-1166</t>
        </is>
      </c>
      <c r="B167" s="2" t="n">
        <v>45900</v>
      </c>
      <c r="C167" t="inlineStr">
        <is>
          <t>South</t>
        </is>
      </c>
      <c r="D167" t="inlineStr">
        <is>
          <t>Divya Menon</t>
        </is>
      </c>
      <c r="E167" t="inlineStr">
        <is>
          <t>Monitor</t>
        </is>
      </c>
      <c r="F167" t="inlineStr">
        <is>
          <t>Electronics</t>
        </is>
      </c>
      <c r="G167" s="3" t="n">
        <v>1</v>
      </c>
      <c r="H167" s="4" t="n">
        <v>14000</v>
      </c>
      <c r="I167" s="4" t="n">
        <v>14000</v>
      </c>
      <c r="J167" s="4" t="n">
        <v>8591</v>
      </c>
      <c r="K167" s="4" t="n">
        <v>5409</v>
      </c>
    </row>
    <row r="168">
      <c r="A168" t="inlineStr">
        <is>
          <t>ORD-1167</t>
        </is>
      </c>
      <c r="B168" s="2" t="n">
        <v>45911</v>
      </c>
      <c r="C168" t="inlineStr">
        <is>
          <t>West</t>
        </is>
      </c>
      <c r="D168" t="inlineStr">
        <is>
          <t>Vikram Mehta</t>
        </is>
      </c>
      <c r="E168" t="inlineStr">
        <is>
          <t>Keyboard</t>
        </is>
      </c>
      <c r="F168" t="inlineStr">
        <is>
          <t>Accessories</t>
        </is>
      </c>
      <c r="G168" s="3" t="n">
        <v>11</v>
      </c>
      <c r="H168" s="4" t="n">
        <v>2500</v>
      </c>
      <c r="I168" s="4" t="n">
        <v>27500</v>
      </c>
      <c r="J168" s="4" t="n">
        <v>20519</v>
      </c>
      <c r="K168" s="4" t="n">
        <v>6981</v>
      </c>
    </row>
    <row r="169">
      <c r="A169" t="inlineStr">
        <is>
          <t>ORD-1168</t>
        </is>
      </c>
      <c r="B169" s="2" t="n">
        <v>45709</v>
      </c>
      <c r="C169" t="inlineStr">
        <is>
          <t>South</t>
        </is>
      </c>
      <c r="D169" t="inlineStr">
        <is>
          <t>Divya Menon</t>
        </is>
      </c>
      <c r="E169" t="inlineStr">
        <is>
          <t>Headphones</t>
        </is>
      </c>
      <c r="F169" t="inlineStr">
        <is>
          <t>Accessories</t>
        </is>
      </c>
      <c r="G169" s="3" t="n">
        <v>10</v>
      </c>
      <c r="H169" s="4" t="n">
        <v>3500</v>
      </c>
      <c r="I169" s="4" t="n">
        <v>35000</v>
      </c>
      <c r="J169" s="4" t="n">
        <v>21574</v>
      </c>
      <c r="K169" s="4" t="n">
        <v>13426</v>
      </c>
    </row>
    <row r="170">
      <c r="A170" t="inlineStr">
        <is>
          <t>ORD-1169</t>
        </is>
      </c>
      <c r="B170" s="2" t="n">
        <v>45731</v>
      </c>
      <c r="C170" t="inlineStr">
        <is>
          <t>North</t>
        </is>
      </c>
      <c r="D170" t="inlineStr">
        <is>
          <t>Priya Verma</t>
        </is>
      </c>
      <c r="E170" t="inlineStr">
        <is>
          <t>Headphones</t>
        </is>
      </c>
      <c r="F170" t="inlineStr">
        <is>
          <t>Accessories</t>
        </is>
      </c>
      <c r="G170" s="3" t="n">
        <v>8</v>
      </c>
      <c r="H170" s="4" t="n">
        <v>3500</v>
      </c>
      <c r="I170" s="4" t="n">
        <v>28000</v>
      </c>
      <c r="J170" s="4" t="n">
        <v>15486</v>
      </c>
      <c r="K170" s="4" t="n">
        <v>12514</v>
      </c>
    </row>
    <row r="171">
      <c r="A171" t="inlineStr">
        <is>
          <t>ORD-1170</t>
        </is>
      </c>
      <c r="B171" s="2" t="n">
        <v>45793</v>
      </c>
      <c r="C171" t="inlineStr">
        <is>
          <t>South</t>
        </is>
      </c>
      <c r="D171" t="inlineStr">
        <is>
          <t>Divya Menon</t>
        </is>
      </c>
      <c r="E171" t="inlineStr">
        <is>
          <t>Laptop</t>
        </is>
      </c>
      <c r="F171" t="inlineStr">
        <is>
          <t>Electronics</t>
        </is>
      </c>
      <c r="G171" s="3" t="n">
        <v>8</v>
      </c>
      <c r="H171" s="4" t="n">
        <v>55000</v>
      </c>
      <c r="I171" s="4" t="n">
        <v>440000</v>
      </c>
      <c r="J171" s="4" t="n">
        <v>310774</v>
      </c>
      <c r="K171" s="4" t="n">
        <v>129226</v>
      </c>
    </row>
    <row r="172">
      <c r="A172" t="inlineStr">
        <is>
          <t>ORD-1171</t>
        </is>
      </c>
      <c r="B172" s="2" t="n">
        <v>46003</v>
      </c>
      <c r="C172" t="inlineStr">
        <is>
          <t>West</t>
        </is>
      </c>
      <c r="D172" t="inlineStr">
        <is>
          <t>Kavita Patil</t>
        </is>
      </c>
      <c r="E172" t="inlineStr">
        <is>
          <t>Keyboard</t>
        </is>
      </c>
      <c r="F172" t="inlineStr">
        <is>
          <t>Accessories</t>
        </is>
      </c>
      <c r="G172" s="3" t="n">
        <v>2</v>
      </c>
      <c r="H172" s="4" t="n">
        <v>2500</v>
      </c>
      <c r="I172" s="4" t="n">
        <v>5000</v>
      </c>
      <c r="J172" s="4" t="n">
        <v>3602</v>
      </c>
      <c r="K172" s="4" t="n">
        <v>1398</v>
      </c>
    </row>
    <row r="173">
      <c r="A173" t="inlineStr">
        <is>
          <t>ORD-1172</t>
        </is>
      </c>
      <c r="B173" s="2" t="n">
        <v>45907</v>
      </c>
      <c r="C173" t="inlineStr">
        <is>
          <t>East</t>
        </is>
      </c>
      <c r="D173" t="inlineStr">
        <is>
          <t>Sourav Das</t>
        </is>
      </c>
      <c r="E173" t="inlineStr">
        <is>
          <t>Keyboard</t>
        </is>
      </c>
      <c r="F173" t="inlineStr">
        <is>
          <t>Accessories</t>
        </is>
      </c>
      <c r="G173" s="3" t="n">
        <v>12</v>
      </c>
      <c r="H173" s="4" t="n">
        <v>2500</v>
      </c>
      <c r="I173" s="4" t="n">
        <v>30000</v>
      </c>
      <c r="J173" s="4" t="n">
        <v>21825</v>
      </c>
      <c r="K173" s="4" t="n">
        <v>8175</v>
      </c>
    </row>
    <row r="174">
      <c r="A174" t="inlineStr">
        <is>
          <t>ORD-1173</t>
        </is>
      </c>
      <c r="B174" s="2" t="n">
        <v>45805</v>
      </c>
      <c r="C174" t="inlineStr">
        <is>
          <t>North</t>
        </is>
      </c>
      <c r="D174" t="inlineStr">
        <is>
          <t>Amit Sharma</t>
        </is>
      </c>
      <c r="E174" t="inlineStr">
        <is>
          <t>Smartphone</t>
        </is>
      </c>
      <c r="F174" t="inlineStr">
        <is>
          <t>Electronics</t>
        </is>
      </c>
      <c r="G174" s="3" t="n">
        <v>11</v>
      </c>
      <c r="H174" s="4" t="n">
        <v>22000</v>
      </c>
      <c r="I174" s="4" t="n">
        <v>242000</v>
      </c>
      <c r="J174" s="4" t="n">
        <v>166225</v>
      </c>
      <c r="K174" s="4" t="n">
        <v>75775</v>
      </c>
    </row>
    <row r="175">
      <c r="A175" t="inlineStr">
        <is>
          <t>ORD-1174</t>
        </is>
      </c>
      <c r="B175" s="2" t="n">
        <v>46018</v>
      </c>
      <c r="C175" t="inlineStr">
        <is>
          <t>North</t>
        </is>
      </c>
      <c r="D175" t="inlineStr">
        <is>
          <t>Amit Sharma</t>
        </is>
      </c>
      <c r="E175" t="inlineStr">
        <is>
          <t>Monitor</t>
        </is>
      </c>
      <c r="F175" t="inlineStr">
        <is>
          <t>Electronics</t>
        </is>
      </c>
      <c r="G175" s="3" t="n">
        <v>2</v>
      </c>
      <c r="H175" s="4" t="n">
        <v>14000</v>
      </c>
      <c r="I175" s="4" t="n">
        <v>28000</v>
      </c>
      <c r="J175" s="4" t="n">
        <v>19658</v>
      </c>
      <c r="K175" s="4" t="n">
        <v>8342</v>
      </c>
    </row>
    <row r="176">
      <c r="A176" t="inlineStr">
        <is>
          <t>ORD-1175</t>
        </is>
      </c>
      <c r="B176" s="2" t="n">
        <v>45672</v>
      </c>
      <c r="C176" t="inlineStr">
        <is>
          <t>West</t>
        </is>
      </c>
      <c r="D176" t="inlineStr">
        <is>
          <t>Vikram Mehta</t>
        </is>
      </c>
      <c r="E176" t="inlineStr">
        <is>
          <t>Smartphone</t>
        </is>
      </c>
      <c r="F176" t="inlineStr">
        <is>
          <t>Electronics</t>
        </is>
      </c>
      <c r="G176" s="3" t="n">
        <v>12</v>
      </c>
      <c r="H176" s="4" t="n">
        <v>22000</v>
      </c>
      <c r="I176" s="4" t="n">
        <v>264000</v>
      </c>
      <c r="J176" s="4" t="n">
        <v>161012</v>
      </c>
      <c r="K176" s="4" t="n">
        <v>102988</v>
      </c>
    </row>
    <row r="177">
      <c r="A177" t="inlineStr">
        <is>
          <t>ORD-1176</t>
        </is>
      </c>
      <c r="B177" s="2" t="n">
        <v>45878</v>
      </c>
      <c r="C177" t="inlineStr">
        <is>
          <t>East</t>
        </is>
      </c>
      <c r="D177" t="inlineStr">
        <is>
          <t>Sourav Das</t>
        </is>
      </c>
      <c r="E177" t="inlineStr">
        <is>
          <t>Laptop</t>
        </is>
      </c>
      <c r="F177" t="inlineStr">
        <is>
          <t>Electronics</t>
        </is>
      </c>
      <c r="G177" s="3" t="n">
        <v>5</v>
      </c>
      <c r="H177" s="4" t="n">
        <v>55000</v>
      </c>
      <c r="I177" s="4" t="n">
        <v>275000</v>
      </c>
      <c r="J177" s="4" t="n">
        <v>170965</v>
      </c>
      <c r="K177" s="4" t="n">
        <v>104035</v>
      </c>
    </row>
    <row r="178">
      <c r="A178" t="inlineStr">
        <is>
          <t>ORD-1177</t>
        </is>
      </c>
      <c r="B178" s="2" t="n">
        <v>45750</v>
      </c>
      <c r="C178" t="inlineStr">
        <is>
          <t>South</t>
        </is>
      </c>
      <c r="D178" t="inlineStr">
        <is>
          <t>Ravi Nair</t>
        </is>
      </c>
      <c r="E178" t="inlineStr">
        <is>
          <t>Headphones</t>
        </is>
      </c>
      <c r="F178" t="inlineStr">
        <is>
          <t>Accessories</t>
        </is>
      </c>
      <c r="G178" s="3" t="n">
        <v>7</v>
      </c>
      <c r="H178" s="4" t="n">
        <v>3500</v>
      </c>
      <c r="I178" s="4" t="n">
        <v>24500</v>
      </c>
      <c r="J178" s="4" t="n">
        <v>16248</v>
      </c>
      <c r="K178" s="4" t="n">
        <v>8252</v>
      </c>
    </row>
    <row r="179">
      <c r="A179" t="inlineStr">
        <is>
          <t>ORD-1178</t>
        </is>
      </c>
      <c r="B179" s="2" t="n">
        <v>45975</v>
      </c>
      <c r="C179" t="inlineStr">
        <is>
          <t>South</t>
        </is>
      </c>
      <c r="D179" t="inlineStr">
        <is>
          <t>Ravi Nair</t>
        </is>
      </c>
      <c r="E179" t="inlineStr">
        <is>
          <t>Laptop</t>
        </is>
      </c>
      <c r="F179" t="inlineStr">
        <is>
          <t>Electronics</t>
        </is>
      </c>
      <c r="G179" s="3" t="n">
        <v>10</v>
      </c>
      <c r="H179" s="4" t="n">
        <v>55000</v>
      </c>
      <c r="I179" s="4" t="n">
        <v>550000</v>
      </c>
      <c r="J179" s="4" t="n">
        <v>398292</v>
      </c>
      <c r="K179" s="4" t="n">
        <v>151708</v>
      </c>
    </row>
    <row r="180">
      <c r="A180" t="inlineStr">
        <is>
          <t>ORD-1179</t>
        </is>
      </c>
      <c r="B180" s="2" t="n">
        <v>45984</v>
      </c>
      <c r="C180" t="inlineStr">
        <is>
          <t>West</t>
        </is>
      </c>
      <c r="D180" t="inlineStr">
        <is>
          <t>Kavita Patil</t>
        </is>
      </c>
      <c r="E180" t="inlineStr">
        <is>
          <t>Headphones</t>
        </is>
      </c>
      <c r="F180" t="inlineStr">
        <is>
          <t>Accessories</t>
        </is>
      </c>
      <c r="G180" s="3" t="n">
        <v>3</v>
      </c>
      <c r="H180" s="4" t="n">
        <v>3500</v>
      </c>
      <c r="I180" s="4" t="n">
        <v>10500</v>
      </c>
      <c r="J180" s="4" t="n">
        <v>6263</v>
      </c>
      <c r="K180" s="4" t="n">
        <v>4237</v>
      </c>
    </row>
    <row r="181">
      <c r="A181" t="inlineStr">
        <is>
          <t>ORD-1180</t>
        </is>
      </c>
      <c r="B181" s="2" t="n">
        <v>45896</v>
      </c>
      <c r="C181" t="inlineStr">
        <is>
          <t>West</t>
        </is>
      </c>
      <c r="D181" t="inlineStr">
        <is>
          <t>Kavita Patil</t>
        </is>
      </c>
      <c r="E181" t="inlineStr">
        <is>
          <t>Tablet</t>
        </is>
      </c>
      <c r="F181" t="inlineStr">
        <is>
          <t>Electronics</t>
        </is>
      </c>
      <c r="G181" s="3" t="n">
        <v>11</v>
      </c>
      <c r="H181" s="4" t="n">
        <v>18000</v>
      </c>
      <c r="I181" s="4" t="n">
        <v>198000</v>
      </c>
      <c r="J181" s="4" t="n">
        <v>109272</v>
      </c>
      <c r="K181" s="4" t="n">
        <v>88728</v>
      </c>
    </row>
    <row r="182">
      <c r="A182" t="inlineStr">
        <is>
          <t>ORD-1181</t>
        </is>
      </c>
      <c r="B182" s="2" t="n">
        <v>45958</v>
      </c>
      <c r="C182" t="inlineStr">
        <is>
          <t>South</t>
        </is>
      </c>
      <c r="D182" t="inlineStr">
        <is>
          <t>Divya Menon</t>
        </is>
      </c>
      <c r="E182" t="inlineStr">
        <is>
          <t>Laptop</t>
        </is>
      </c>
      <c r="F182" t="inlineStr">
        <is>
          <t>Electronics</t>
        </is>
      </c>
      <c r="G182" s="3" t="n">
        <v>8</v>
      </c>
      <c r="H182" s="4" t="n">
        <v>55000</v>
      </c>
      <c r="I182" s="4" t="n">
        <v>440000</v>
      </c>
      <c r="J182" s="4" t="n">
        <v>325181</v>
      </c>
      <c r="K182" s="4" t="n">
        <v>114819</v>
      </c>
    </row>
    <row r="183">
      <c r="A183" t="inlineStr">
        <is>
          <t>ORD-1182</t>
        </is>
      </c>
      <c r="B183" s="2" t="n">
        <v>45812</v>
      </c>
      <c r="C183" t="inlineStr">
        <is>
          <t>West</t>
        </is>
      </c>
      <c r="D183" t="inlineStr">
        <is>
          <t>Vikram Mehta</t>
        </is>
      </c>
      <c r="E183" t="inlineStr">
        <is>
          <t>Keyboard</t>
        </is>
      </c>
      <c r="F183" t="inlineStr">
        <is>
          <t>Accessories</t>
        </is>
      </c>
      <c r="G183" s="3" t="n">
        <v>5</v>
      </c>
      <c r="H183" s="4" t="n">
        <v>2500</v>
      </c>
      <c r="I183" s="4" t="n">
        <v>12500</v>
      </c>
      <c r="J183" s="4" t="n">
        <v>8017</v>
      </c>
      <c r="K183" s="4" t="n">
        <v>4483</v>
      </c>
    </row>
    <row r="184">
      <c r="A184" t="inlineStr">
        <is>
          <t>ORD-1183</t>
        </is>
      </c>
      <c r="B184" s="2" t="n">
        <v>45950</v>
      </c>
      <c r="C184" t="inlineStr">
        <is>
          <t>West</t>
        </is>
      </c>
      <c r="D184" t="inlineStr">
        <is>
          <t>Kavita Patil</t>
        </is>
      </c>
      <c r="E184" t="inlineStr">
        <is>
          <t>Monitor</t>
        </is>
      </c>
      <c r="F184" t="inlineStr">
        <is>
          <t>Electronics</t>
        </is>
      </c>
      <c r="G184" s="3" t="n">
        <v>2</v>
      </c>
      <c r="H184" s="4" t="n">
        <v>14000</v>
      </c>
      <c r="I184" s="4" t="n">
        <v>28000</v>
      </c>
      <c r="J184" s="4" t="n">
        <v>16728</v>
      </c>
      <c r="K184" s="4" t="n">
        <v>11272</v>
      </c>
    </row>
    <row r="185">
      <c r="A185" t="inlineStr">
        <is>
          <t>ORD-1184</t>
        </is>
      </c>
      <c r="B185" s="2" t="n">
        <v>45995</v>
      </c>
      <c r="C185" t="inlineStr">
        <is>
          <t>East</t>
        </is>
      </c>
      <c r="D185" t="inlineStr">
        <is>
          <t>Anita Roy</t>
        </is>
      </c>
      <c r="E185" t="inlineStr">
        <is>
          <t>Keyboard</t>
        </is>
      </c>
      <c r="F185" t="inlineStr">
        <is>
          <t>Accessories</t>
        </is>
      </c>
      <c r="G185" s="3" t="n">
        <v>5</v>
      </c>
      <c r="H185" s="4" t="n">
        <v>2500</v>
      </c>
      <c r="I185" s="4" t="n">
        <v>12500</v>
      </c>
      <c r="J185" s="4" t="n">
        <v>6930</v>
      </c>
      <c r="K185" s="4" t="n">
        <v>5570</v>
      </c>
    </row>
    <row r="186">
      <c r="A186" t="inlineStr">
        <is>
          <t>ORD-1185</t>
        </is>
      </c>
      <c r="B186" s="2" t="n">
        <v>45683</v>
      </c>
      <c r="C186" t="inlineStr">
        <is>
          <t>East</t>
        </is>
      </c>
      <c r="D186" t="inlineStr">
        <is>
          <t>Anita Roy</t>
        </is>
      </c>
      <c r="E186" t="inlineStr">
        <is>
          <t>Laptop</t>
        </is>
      </c>
      <c r="F186" t="inlineStr">
        <is>
          <t>Electronics</t>
        </is>
      </c>
      <c r="G186" s="3" t="n">
        <v>10</v>
      </c>
      <c r="H186" s="4" t="n">
        <v>55000</v>
      </c>
      <c r="I186" s="4" t="n">
        <v>550000</v>
      </c>
      <c r="J186" s="4" t="n">
        <v>397657</v>
      </c>
      <c r="K186" s="4" t="n">
        <v>152343</v>
      </c>
    </row>
    <row r="187">
      <c r="A187" t="inlineStr">
        <is>
          <t>ORD-1186</t>
        </is>
      </c>
      <c r="B187" s="2" t="n">
        <v>45770</v>
      </c>
      <c r="C187" t="inlineStr">
        <is>
          <t>East</t>
        </is>
      </c>
      <c r="D187" t="inlineStr">
        <is>
          <t>Sourav Das</t>
        </is>
      </c>
      <c r="E187" t="inlineStr">
        <is>
          <t>Smartphone</t>
        </is>
      </c>
      <c r="F187" t="inlineStr">
        <is>
          <t>Electronics</t>
        </is>
      </c>
      <c r="G187" s="3" t="n">
        <v>10</v>
      </c>
      <c r="H187" s="4" t="n">
        <v>22000</v>
      </c>
      <c r="I187" s="4" t="n">
        <v>220000</v>
      </c>
      <c r="J187" s="4" t="n">
        <v>156285</v>
      </c>
      <c r="K187" s="4" t="n">
        <v>63715</v>
      </c>
    </row>
    <row r="188">
      <c r="A188" t="inlineStr">
        <is>
          <t>ORD-1187</t>
        </is>
      </c>
      <c r="B188" s="2" t="n">
        <v>46006</v>
      </c>
      <c r="C188" t="inlineStr">
        <is>
          <t>East</t>
        </is>
      </c>
      <c r="D188" t="inlineStr">
        <is>
          <t>Sourav Das</t>
        </is>
      </c>
      <c r="E188" t="inlineStr">
        <is>
          <t>Keyboard</t>
        </is>
      </c>
      <c r="F188" t="inlineStr">
        <is>
          <t>Accessories</t>
        </is>
      </c>
      <c r="G188" s="3" t="n">
        <v>12</v>
      </c>
      <c r="H188" s="4" t="n">
        <v>2500</v>
      </c>
      <c r="I188" s="4" t="n">
        <v>30000</v>
      </c>
      <c r="J188" s="4" t="n">
        <v>21105</v>
      </c>
      <c r="K188" s="4" t="n">
        <v>8895</v>
      </c>
    </row>
    <row r="189">
      <c r="A189" t="inlineStr">
        <is>
          <t>ORD-1188</t>
        </is>
      </c>
      <c r="B189" s="2" t="n">
        <v>45883</v>
      </c>
      <c r="C189" t="inlineStr">
        <is>
          <t>North</t>
        </is>
      </c>
      <c r="D189" t="inlineStr">
        <is>
          <t>Amit Sharma</t>
        </is>
      </c>
      <c r="E189" t="inlineStr">
        <is>
          <t>Keyboard</t>
        </is>
      </c>
      <c r="F189" t="inlineStr">
        <is>
          <t>Accessories</t>
        </is>
      </c>
      <c r="G189" s="3" t="n">
        <v>11</v>
      </c>
      <c r="H189" s="4" t="n">
        <v>2500</v>
      </c>
      <c r="I189" s="4" t="n">
        <v>27500</v>
      </c>
      <c r="J189" s="4" t="n">
        <v>15342</v>
      </c>
      <c r="K189" s="4" t="n">
        <v>12158</v>
      </c>
    </row>
    <row r="190">
      <c r="A190" t="inlineStr">
        <is>
          <t>ORD-1189</t>
        </is>
      </c>
      <c r="B190" s="2" t="n">
        <v>45809</v>
      </c>
      <c r="C190" t="inlineStr">
        <is>
          <t>East</t>
        </is>
      </c>
      <c r="D190" t="inlineStr">
        <is>
          <t>Anita Roy</t>
        </is>
      </c>
      <c r="E190" t="inlineStr">
        <is>
          <t>Keyboard</t>
        </is>
      </c>
      <c r="F190" t="inlineStr">
        <is>
          <t>Accessories</t>
        </is>
      </c>
      <c r="G190" s="3" t="n">
        <v>3</v>
      </c>
      <c r="H190" s="4" t="n">
        <v>2500</v>
      </c>
      <c r="I190" s="4" t="n">
        <v>7500</v>
      </c>
      <c r="J190" s="4" t="n">
        <v>4260</v>
      </c>
      <c r="K190" s="4" t="n">
        <v>3240</v>
      </c>
    </row>
    <row r="191">
      <c r="A191" t="inlineStr">
        <is>
          <t>ORD-1190</t>
        </is>
      </c>
      <c r="B191" s="2" t="n">
        <v>45934</v>
      </c>
      <c r="C191" t="inlineStr">
        <is>
          <t>West</t>
        </is>
      </c>
      <c r="D191" t="inlineStr">
        <is>
          <t>Kavita Patil</t>
        </is>
      </c>
      <c r="E191" t="inlineStr">
        <is>
          <t>Smartphone</t>
        </is>
      </c>
      <c r="F191" t="inlineStr">
        <is>
          <t>Electronics</t>
        </is>
      </c>
      <c r="G191" s="3" t="n">
        <v>4</v>
      </c>
      <c r="H191" s="4" t="n">
        <v>22000</v>
      </c>
      <c r="I191" s="4" t="n">
        <v>88000</v>
      </c>
      <c r="J191" s="4" t="n">
        <v>50726</v>
      </c>
      <c r="K191" s="4" t="n">
        <v>37274</v>
      </c>
    </row>
    <row r="192">
      <c r="A192" t="inlineStr">
        <is>
          <t>ORD-1191</t>
        </is>
      </c>
      <c r="B192" s="2" t="n">
        <v>45904</v>
      </c>
      <c r="C192" t="inlineStr">
        <is>
          <t>East</t>
        </is>
      </c>
      <c r="D192" t="inlineStr">
        <is>
          <t>Anita Roy</t>
        </is>
      </c>
      <c r="E192" t="inlineStr">
        <is>
          <t>Smartphone</t>
        </is>
      </c>
      <c r="F192" t="inlineStr">
        <is>
          <t>Electronics</t>
        </is>
      </c>
      <c r="G192" s="3" t="n">
        <v>5</v>
      </c>
      <c r="H192" s="4" t="n">
        <v>22000</v>
      </c>
      <c r="I192" s="4" t="n">
        <v>110000</v>
      </c>
      <c r="J192" s="4" t="n">
        <v>80609</v>
      </c>
      <c r="K192" s="4" t="n">
        <v>29391</v>
      </c>
    </row>
    <row r="193">
      <c r="A193" t="inlineStr">
        <is>
          <t>ORD-1192</t>
        </is>
      </c>
      <c r="B193" s="2" t="n">
        <v>45730</v>
      </c>
      <c r="C193" t="inlineStr">
        <is>
          <t>East</t>
        </is>
      </c>
      <c r="D193" t="inlineStr">
        <is>
          <t>Sourav Das</t>
        </is>
      </c>
      <c r="E193" t="inlineStr">
        <is>
          <t>Laptop</t>
        </is>
      </c>
      <c r="F193" t="inlineStr">
        <is>
          <t>Electronics</t>
        </is>
      </c>
      <c r="G193" s="3" t="n">
        <v>8</v>
      </c>
      <c r="H193" s="4" t="n">
        <v>55000</v>
      </c>
      <c r="I193" s="4" t="n">
        <v>440000</v>
      </c>
      <c r="J193" s="4" t="n">
        <v>326735</v>
      </c>
      <c r="K193" s="4" t="n">
        <v>113265</v>
      </c>
    </row>
    <row r="194">
      <c r="A194" t="inlineStr">
        <is>
          <t>ORD-1193</t>
        </is>
      </c>
      <c r="B194" s="2" t="n">
        <v>45860</v>
      </c>
      <c r="C194" t="inlineStr">
        <is>
          <t>West</t>
        </is>
      </c>
      <c r="D194" t="inlineStr">
        <is>
          <t>Vikram Mehta</t>
        </is>
      </c>
      <c r="E194" t="inlineStr">
        <is>
          <t>Headphones</t>
        </is>
      </c>
      <c r="F194" t="inlineStr">
        <is>
          <t>Accessories</t>
        </is>
      </c>
      <c r="G194" s="3" t="n">
        <v>6</v>
      </c>
      <c r="H194" s="4" t="n">
        <v>3500</v>
      </c>
      <c r="I194" s="4" t="n">
        <v>21000</v>
      </c>
      <c r="J194" s="4" t="n">
        <v>11929</v>
      </c>
      <c r="K194" s="4" t="n">
        <v>9071</v>
      </c>
    </row>
    <row r="195">
      <c r="A195" t="inlineStr">
        <is>
          <t>ORD-1194</t>
        </is>
      </c>
      <c r="B195" s="2" t="n">
        <v>46002</v>
      </c>
      <c r="C195" t="inlineStr">
        <is>
          <t>East</t>
        </is>
      </c>
      <c r="D195" t="inlineStr">
        <is>
          <t>Anita Roy</t>
        </is>
      </c>
      <c r="E195" t="inlineStr">
        <is>
          <t>Headphones</t>
        </is>
      </c>
      <c r="F195" t="inlineStr">
        <is>
          <t>Accessories</t>
        </is>
      </c>
      <c r="G195" s="3" t="n">
        <v>2</v>
      </c>
      <c r="H195" s="4" t="n">
        <v>3500</v>
      </c>
      <c r="I195" s="4" t="n">
        <v>7000</v>
      </c>
      <c r="J195" s="4" t="n">
        <v>4487</v>
      </c>
      <c r="K195" s="4" t="n">
        <v>2513</v>
      </c>
    </row>
    <row r="196">
      <c r="A196" t="inlineStr">
        <is>
          <t>ORD-1195</t>
        </is>
      </c>
      <c r="B196" s="2" t="n">
        <v>45777</v>
      </c>
      <c r="C196" t="inlineStr">
        <is>
          <t>West</t>
        </is>
      </c>
      <c r="D196" t="inlineStr">
        <is>
          <t>Kavita Patil</t>
        </is>
      </c>
      <c r="E196" t="inlineStr">
        <is>
          <t>Keyboard</t>
        </is>
      </c>
      <c r="F196" t="inlineStr">
        <is>
          <t>Accessories</t>
        </is>
      </c>
      <c r="G196" s="3" t="n">
        <v>6</v>
      </c>
      <c r="H196" s="4" t="n">
        <v>2500</v>
      </c>
      <c r="I196" s="4" t="n">
        <v>15000</v>
      </c>
      <c r="J196" s="4" t="n">
        <v>8575</v>
      </c>
      <c r="K196" s="4" t="n">
        <v>6425</v>
      </c>
    </row>
    <row r="197">
      <c r="A197" t="inlineStr">
        <is>
          <t>ORD-1196</t>
        </is>
      </c>
      <c r="B197" s="2" t="n">
        <v>45970</v>
      </c>
      <c r="C197" t="inlineStr">
        <is>
          <t>North</t>
        </is>
      </c>
      <c r="D197" t="inlineStr">
        <is>
          <t>Amit Sharma</t>
        </is>
      </c>
      <c r="E197" t="inlineStr">
        <is>
          <t>Headphones</t>
        </is>
      </c>
      <c r="F197" t="inlineStr">
        <is>
          <t>Accessories</t>
        </is>
      </c>
      <c r="G197" s="3" t="n">
        <v>9</v>
      </c>
      <c r="H197" s="4" t="n">
        <v>3500</v>
      </c>
      <c r="I197" s="4" t="n">
        <v>31500</v>
      </c>
      <c r="J197" s="4" t="n">
        <v>19391</v>
      </c>
      <c r="K197" s="4" t="n">
        <v>12109</v>
      </c>
    </row>
    <row r="198">
      <c r="A198" t="inlineStr">
        <is>
          <t>ORD-1197</t>
        </is>
      </c>
      <c r="B198" s="2" t="n">
        <v>45812</v>
      </c>
      <c r="C198" t="inlineStr">
        <is>
          <t>North</t>
        </is>
      </c>
      <c r="D198" t="inlineStr">
        <is>
          <t>Priya Verma</t>
        </is>
      </c>
      <c r="E198" t="inlineStr">
        <is>
          <t>Keyboard</t>
        </is>
      </c>
      <c r="F198" t="inlineStr">
        <is>
          <t>Accessories</t>
        </is>
      </c>
      <c r="G198" s="3" t="n">
        <v>8</v>
      </c>
      <c r="H198" s="4" t="n">
        <v>2500</v>
      </c>
      <c r="I198" s="4" t="n">
        <v>20000</v>
      </c>
      <c r="J198" s="4" t="n">
        <v>14638</v>
      </c>
      <c r="K198" s="4" t="n">
        <v>5362</v>
      </c>
    </row>
    <row r="199">
      <c r="A199" t="inlineStr">
        <is>
          <t>ORD-1198</t>
        </is>
      </c>
      <c r="B199" s="2" t="n">
        <v>45813</v>
      </c>
      <c r="C199" t="inlineStr">
        <is>
          <t>North</t>
        </is>
      </c>
      <c r="D199" t="inlineStr">
        <is>
          <t>Priya Verma</t>
        </is>
      </c>
      <c r="E199" t="inlineStr">
        <is>
          <t>Smartphone</t>
        </is>
      </c>
      <c r="F199" t="inlineStr">
        <is>
          <t>Electronics</t>
        </is>
      </c>
      <c r="G199" s="3" t="n">
        <v>1</v>
      </c>
      <c r="H199" s="4" t="n">
        <v>22000</v>
      </c>
      <c r="I199" s="4" t="n">
        <v>22000</v>
      </c>
      <c r="J199" s="4" t="n">
        <v>16264</v>
      </c>
      <c r="K199" s="4" t="n">
        <v>5736</v>
      </c>
    </row>
    <row r="200">
      <c r="A200" t="inlineStr">
        <is>
          <t>ORD-1199</t>
        </is>
      </c>
      <c r="B200" s="2" t="n">
        <v>45727</v>
      </c>
      <c r="C200" t="inlineStr">
        <is>
          <t>North</t>
        </is>
      </c>
      <c r="D200" t="inlineStr">
        <is>
          <t>Priya Verma</t>
        </is>
      </c>
      <c r="E200" t="inlineStr">
        <is>
          <t>Laptop</t>
        </is>
      </c>
      <c r="F200" t="inlineStr">
        <is>
          <t>Electronics</t>
        </is>
      </c>
      <c r="G200" s="3" t="n">
        <v>4</v>
      </c>
      <c r="H200" s="4" t="n">
        <v>55000</v>
      </c>
      <c r="I200" s="4" t="n">
        <v>220000</v>
      </c>
      <c r="J200" s="4" t="n">
        <v>160039</v>
      </c>
      <c r="K200" s="4" t="n">
        <v>59961</v>
      </c>
    </row>
    <row r="201">
      <c r="A201" t="inlineStr">
        <is>
          <t>ORD-1200</t>
        </is>
      </c>
      <c r="B201" s="2" t="n">
        <v>46014</v>
      </c>
      <c r="C201" t="inlineStr">
        <is>
          <t>West</t>
        </is>
      </c>
      <c r="D201" t="inlineStr">
        <is>
          <t>Kavita Patil</t>
        </is>
      </c>
      <c r="E201" t="inlineStr">
        <is>
          <t>Tablet</t>
        </is>
      </c>
      <c r="F201" t="inlineStr">
        <is>
          <t>Electronics</t>
        </is>
      </c>
      <c r="G201" s="3" t="n">
        <v>11</v>
      </c>
      <c r="H201" s="4" t="n">
        <v>18000</v>
      </c>
      <c r="I201" s="4" t="n">
        <v>198000</v>
      </c>
      <c r="J201" s="4" t="n">
        <v>146495</v>
      </c>
      <c r="K201" s="4" t="n">
        <v>51505</v>
      </c>
    </row>
    <row r="202">
      <c r="A202" t="inlineStr">
        <is>
          <t>ORD-1201</t>
        </is>
      </c>
      <c r="B202" s="2" t="n">
        <v>45908</v>
      </c>
      <c r="C202" t="inlineStr">
        <is>
          <t>South</t>
        </is>
      </c>
      <c r="D202" t="inlineStr">
        <is>
          <t>Divya Menon</t>
        </is>
      </c>
      <c r="E202" t="inlineStr">
        <is>
          <t>Monitor</t>
        </is>
      </c>
      <c r="F202" t="inlineStr">
        <is>
          <t>Electronics</t>
        </is>
      </c>
      <c r="G202" s="3" t="n">
        <v>11</v>
      </c>
      <c r="H202" s="4" t="n">
        <v>14000</v>
      </c>
      <c r="I202" s="4" t="n">
        <v>154000</v>
      </c>
      <c r="J202" s="4" t="n">
        <v>87750</v>
      </c>
      <c r="K202" s="4" t="n">
        <v>66250</v>
      </c>
    </row>
    <row r="203">
      <c r="A203" t="inlineStr">
        <is>
          <t>ORD-1202</t>
        </is>
      </c>
      <c r="B203" s="2" t="n">
        <v>45885</v>
      </c>
      <c r="C203" t="inlineStr">
        <is>
          <t>East</t>
        </is>
      </c>
      <c r="D203" t="inlineStr">
        <is>
          <t>Anita Roy</t>
        </is>
      </c>
      <c r="E203" t="inlineStr">
        <is>
          <t>Laptop</t>
        </is>
      </c>
      <c r="F203" t="inlineStr">
        <is>
          <t>Electronics</t>
        </is>
      </c>
      <c r="G203" s="3" t="n">
        <v>12</v>
      </c>
      <c r="H203" s="4" t="n">
        <v>55000</v>
      </c>
      <c r="I203" s="4" t="n">
        <v>660000</v>
      </c>
      <c r="J203" s="4" t="n">
        <v>411910</v>
      </c>
      <c r="K203" s="4" t="n">
        <v>248090</v>
      </c>
    </row>
    <row r="204">
      <c r="A204" t="inlineStr">
        <is>
          <t>ORD-1203</t>
        </is>
      </c>
      <c r="B204" s="2" t="n">
        <v>45846</v>
      </c>
      <c r="C204" t="inlineStr">
        <is>
          <t>South</t>
        </is>
      </c>
      <c r="D204" t="inlineStr">
        <is>
          <t>Divya Menon</t>
        </is>
      </c>
      <c r="E204" t="inlineStr">
        <is>
          <t>Tablet</t>
        </is>
      </c>
      <c r="F204" t="inlineStr">
        <is>
          <t>Electronics</t>
        </is>
      </c>
      <c r="G204" s="3" t="n">
        <v>2</v>
      </c>
      <c r="H204" s="4" t="n">
        <v>18000</v>
      </c>
      <c r="I204" s="4" t="n">
        <v>36000</v>
      </c>
      <c r="J204" s="4" t="n">
        <v>26863</v>
      </c>
      <c r="K204" s="4" t="n">
        <v>9137</v>
      </c>
    </row>
    <row r="205">
      <c r="A205" t="inlineStr">
        <is>
          <t>ORD-1204</t>
        </is>
      </c>
      <c r="B205" s="2" t="n">
        <v>45720</v>
      </c>
      <c r="C205" t="inlineStr">
        <is>
          <t>North</t>
        </is>
      </c>
      <c r="D205" t="inlineStr">
        <is>
          <t>Priya Verma</t>
        </is>
      </c>
      <c r="E205" t="inlineStr">
        <is>
          <t>Monitor</t>
        </is>
      </c>
      <c r="F205" t="inlineStr">
        <is>
          <t>Electronics</t>
        </is>
      </c>
      <c r="G205" s="3" t="n">
        <v>5</v>
      </c>
      <c r="H205" s="4" t="n">
        <v>14000</v>
      </c>
      <c r="I205" s="4" t="n">
        <v>70000</v>
      </c>
      <c r="J205" s="4" t="n">
        <v>41157</v>
      </c>
      <c r="K205" s="4" t="n">
        <v>28843</v>
      </c>
    </row>
    <row r="206">
      <c r="A206" t="inlineStr">
        <is>
          <t>ORD-1205</t>
        </is>
      </c>
      <c r="B206" s="2" t="n">
        <v>45963</v>
      </c>
      <c r="C206" t="inlineStr">
        <is>
          <t>North</t>
        </is>
      </c>
      <c r="D206" t="inlineStr">
        <is>
          <t>Amit Sharma</t>
        </is>
      </c>
      <c r="E206" t="inlineStr">
        <is>
          <t>Keyboard</t>
        </is>
      </c>
      <c r="F206" t="inlineStr">
        <is>
          <t>Accessories</t>
        </is>
      </c>
      <c r="G206" s="3" t="n">
        <v>4</v>
      </c>
      <c r="H206" s="4" t="n">
        <v>2500</v>
      </c>
      <c r="I206" s="4" t="n">
        <v>10000</v>
      </c>
      <c r="J206" s="4" t="n">
        <v>6783</v>
      </c>
      <c r="K206" s="4" t="n">
        <v>3217</v>
      </c>
    </row>
    <row r="207">
      <c r="A207" t="inlineStr">
        <is>
          <t>ORD-1206</t>
        </is>
      </c>
      <c r="B207" s="2" t="n">
        <v>45947</v>
      </c>
      <c r="C207" t="inlineStr">
        <is>
          <t>North</t>
        </is>
      </c>
      <c r="D207" t="inlineStr">
        <is>
          <t>Amit Sharma</t>
        </is>
      </c>
      <c r="E207" t="inlineStr">
        <is>
          <t>Tablet</t>
        </is>
      </c>
      <c r="F207" t="inlineStr">
        <is>
          <t>Electronics</t>
        </is>
      </c>
      <c r="G207" s="3" t="n">
        <v>4</v>
      </c>
      <c r="H207" s="4" t="n">
        <v>18000</v>
      </c>
      <c r="I207" s="4" t="n">
        <v>72000</v>
      </c>
      <c r="J207" s="4" t="n">
        <v>53839</v>
      </c>
      <c r="K207" s="4" t="n">
        <v>18161</v>
      </c>
    </row>
    <row r="208">
      <c r="A208" t="inlineStr">
        <is>
          <t>ORD-1207</t>
        </is>
      </c>
      <c r="B208" s="2" t="n">
        <v>45777</v>
      </c>
      <c r="C208" t="inlineStr">
        <is>
          <t>North</t>
        </is>
      </c>
      <c r="D208" t="inlineStr">
        <is>
          <t>Priya Verma</t>
        </is>
      </c>
      <c r="E208" t="inlineStr">
        <is>
          <t>Headphones</t>
        </is>
      </c>
      <c r="F208" t="inlineStr">
        <is>
          <t>Accessories</t>
        </is>
      </c>
      <c r="G208" s="3" t="n">
        <v>4</v>
      </c>
      <c r="H208" s="4" t="n">
        <v>3500</v>
      </c>
      <c r="I208" s="4" t="n">
        <v>14000</v>
      </c>
      <c r="J208" s="4" t="n">
        <v>9342</v>
      </c>
      <c r="K208" s="4" t="n">
        <v>4658</v>
      </c>
    </row>
    <row r="209">
      <c r="A209" t="inlineStr">
        <is>
          <t>ORD-1208</t>
        </is>
      </c>
      <c r="B209" s="2" t="n">
        <v>45732</v>
      </c>
      <c r="C209" t="inlineStr">
        <is>
          <t>South</t>
        </is>
      </c>
      <c r="D209" t="inlineStr">
        <is>
          <t>Ravi Nair</t>
        </is>
      </c>
      <c r="E209" t="inlineStr">
        <is>
          <t>Headphones</t>
        </is>
      </c>
      <c r="F209" t="inlineStr">
        <is>
          <t>Accessories</t>
        </is>
      </c>
      <c r="G209" s="3" t="n">
        <v>1</v>
      </c>
      <c r="H209" s="4" t="n">
        <v>3500</v>
      </c>
      <c r="I209" s="4" t="n">
        <v>3500</v>
      </c>
      <c r="J209" s="4" t="n">
        <v>2119</v>
      </c>
      <c r="K209" s="4" t="n">
        <v>1381</v>
      </c>
    </row>
    <row r="210">
      <c r="A210" t="inlineStr">
        <is>
          <t>ORD-1209</t>
        </is>
      </c>
      <c r="B210" s="2" t="n">
        <v>45671</v>
      </c>
      <c r="C210" t="inlineStr">
        <is>
          <t>East</t>
        </is>
      </c>
      <c r="D210" t="inlineStr">
        <is>
          <t>Sourav Das</t>
        </is>
      </c>
      <c r="E210" t="inlineStr">
        <is>
          <t>Smartphone</t>
        </is>
      </c>
      <c r="F210" t="inlineStr">
        <is>
          <t>Electronics</t>
        </is>
      </c>
      <c r="G210" s="3" t="n">
        <v>2</v>
      </c>
      <c r="H210" s="4" t="n">
        <v>22000</v>
      </c>
      <c r="I210" s="4" t="n">
        <v>44000</v>
      </c>
      <c r="J210" s="4" t="n">
        <v>30017</v>
      </c>
      <c r="K210" s="4" t="n">
        <v>13983</v>
      </c>
    </row>
    <row r="211">
      <c r="A211" t="inlineStr">
        <is>
          <t>ORD-1210</t>
        </is>
      </c>
      <c r="B211" s="2" t="n">
        <v>45666</v>
      </c>
      <c r="C211" t="inlineStr">
        <is>
          <t>North</t>
        </is>
      </c>
      <c r="D211" t="inlineStr">
        <is>
          <t>Amit Sharma</t>
        </is>
      </c>
      <c r="E211" t="inlineStr">
        <is>
          <t>Tablet</t>
        </is>
      </c>
      <c r="F211" t="inlineStr">
        <is>
          <t>Electronics</t>
        </is>
      </c>
      <c r="G211" s="3" t="n">
        <v>4</v>
      </c>
      <c r="H211" s="4" t="n">
        <v>18000</v>
      </c>
      <c r="I211" s="4" t="n">
        <v>72000</v>
      </c>
      <c r="J211" s="4" t="n">
        <v>48079</v>
      </c>
      <c r="K211" s="4" t="n">
        <v>23921</v>
      </c>
    </row>
    <row r="212">
      <c r="A212" t="inlineStr">
        <is>
          <t>ORD-1211</t>
        </is>
      </c>
      <c r="B212" s="2" t="n">
        <v>45927</v>
      </c>
      <c r="C212" t="inlineStr">
        <is>
          <t>East</t>
        </is>
      </c>
      <c r="D212" t="inlineStr">
        <is>
          <t>Sourav Das</t>
        </is>
      </c>
      <c r="E212" t="inlineStr">
        <is>
          <t>Laptop</t>
        </is>
      </c>
      <c r="F212" t="inlineStr">
        <is>
          <t>Electronics</t>
        </is>
      </c>
      <c r="G212" s="3" t="n">
        <v>3</v>
      </c>
      <c r="H212" s="4" t="n">
        <v>55000</v>
      </c>
      <c r="I212" s="4" t="n">
        <v>165000</v>
      </c>
      <c r="J212" s="4" t="n">
        <v>115227</v>
      </c>
      <c r="K212" s="4" t="n">
        <v>49773</v>
      </c>
    </row>
    <row r="213">
      <c r="A213" t="inlineStr">
        <is>
          <t>ORD-1212</t>
        </is>
      </c>
      <c r="B213" s="2" t="n">
        <v>45920</v>
      </c>
      <c r="C213" t="inlineStr">
        <is>
          <t>North</t>
        </is>
      </c>
      <c r="D213" t="inlineStr">
        <is>
          <t>Amit Sharma</t>
        </is>
      </c>
      <c r="E213" t="inlineStr">
        <is>
          <t>Monitor</t>
        </is>
      </c>
      <c r="F213" t="inlineStr">
        <is>
          <t>Electronics</t>
        </is>
      </c>
      <c r="G213" s="3" t="n">
        <v>8</v>
      </c>
      <c r="H213" s="4" t="n">
        <v>14000</v>
      </c>
      <c r="I213" s="4" t="n">
        <v>112000</v>
      </c>
      <c r="J213" s="4" t="n">
        <v>79028</v>
      </c>
      <c r="K213" s="4" t="n">
        <v>32972</v>
      </c>
    </row>
    <row r="214">
      <c r="A214" t="inlineStr">
        <is>
          <t>ORD-1213</t>
        </is>
      </c>
      <c r="B214" s="2" t="n">
        <v>45680</v>
      </c>
      <c r="C214" t="inlineStr">
        <is>
          <t>West</t>
        </is>
      </c>
      <c r="D214" t="inlineStr">
        <is>
          <t>Kavita Patil</t>
        </is>
      </c>
      <c r="E214" t="inlineStr">
        <is>
          <t>Headphones</t>
        </is>
      </c>
      <c r="F214" t="inlineStr">
        <is>
          <t>Accessories</t>
        </is>
      </c>
      <c r="G214" s="3" t="n">
        <v>4</v>
      </c>
      <c r="H214" s="4" t="n">
        <v>3500</v>
      </c>
      <c r="I214" s="4" t="n">
        <v>14000</v>
      </c>
      <c r="J214" s="4" t="n">
        <v>10347</v>
      </c>
      <c r="K214" s="4" t="n">
        <v>3653</v>
      </c>
    </row>
    <row r="215">
      <c r="A215" t="inlineStr">
        <is>
          <t>ORD-1214</t>
        </is>
      </c>
      <c r="B215" s="2" t="n">
        <v>45903</v>
      </c>
      <c r="C215" t="inlineStr">
        <is>
          <t>West</t>
        </is>
      </c>
      <c r="D215" t="inlineStr">
        <is>
          <t>Kavita Patil</t>
        </is>
      </c>
      <c r="E215" t="inlineStr">
        <is>
          <t>Keyboard</t>
        </is>
      </c>
      <c r="F215" t="inlineStr">
        <is>
          <t>Accessories</t>
        </is>
      </c>
      <c r="G215" s="3" t="n">
        <v>1</v>
      </c>
      <c r="H215" s="4" t="n">
        <v>2500</v>
      </c>
      <c r="I215" s="4" t="n">
        <v>2500</v>
      </c>
      <c r="J215" s="4" t="n">
        <v>1405</v>
      </c>
      <c r="K215" s="4" t="n">
        <v>1095</v>
      </c>
    </row>
    <row r="216">
      <c r="A216" t="inlineStr">
        <is>
          <t>ORD-1215</t>
        </is>
      </c>
      <c r="B216" s="2" t="n">
        <v>45885</v>
      </c>
      <c r="C216" t="inlineStr">
        <is>
          <t>West</t>
        </is>
      </c>
      <c r="D216" t="inlineStr">
        <is>
          <t>Vikram Mehta</t>
        </is>
      </c>
      <c r="E216" t="inlineStr">
        <is>
          <t>Keyboard</t>
        </is>
      </c>
      <c r="F216" t="inlineStr">
        <is>
          <t>Accessories</t>
        </is>
      </c>
      <c r="G216" s="3" t="n">
        <v>2</v>
      </c>
      <c r="H216" s="4" t="n">
        <v>2500</v>
      </c>
      <c r="I216" s="4" t="n">
        <v>5000</v>
      </c>
      <c r="J216" s="4" t="n">
        <v>3240</v>
      </c>
      <c r="K216" s="4" t="n">
        <v>1760</v>
      </c>
    </row>
    <row r="217">
      <c r="A217" t="inlineStr">
        <is>
          <t>ORD-1216</t>
        </is>
      </c>
      <c r="B217" s="2" t="n">
        <v>45722</v>
      </c>
      <c r="C217" t="inlineStr">
        <is>
          <t>North</t>
        </is>
      </c>
      <c r="D217" t="inlineStr">
        <is>
          <t>Priya Verma</t>
        </is>
      </c>
      <c r="E217" t="inlineStr">
        <is>
          <t>Tablet</t>
        </is>
      </c>
      <c r="F217" t="inlineStr">
        <is>
          <t>Electronics</t>
        </is>
      </c>
      <c r="G217" s="3" t="n">
        <v>10</v>
      </c>
      <c r="H217" s="4" t="n">
        <v>18000</v>
      </c>
      <c r="I217" s="4" t="n">
        <v>180000</v>
      </c>
      <c r="J217" s="4" t="n">
        <v>104340</v>
      </c>
      <c r="K217" s="4" t="n">
        <v>75660</v>
      </c>
    </row>
    <row r="218">
      <c r="A218" t="inlineStr">
        <is>
          <t>ORD-1217</t>
        </is>
      </c>
      <c r="B218" s="2" t="n">
        <v>45890</v>
      </c>
      <c r="C218" t="inlineStr">
        <is>
          <t>East</t>
        </is>
      </c>
      <c r="D218" t="inlineStr">
        <is>
          <t>Anita Roy</t>
        </is>
      </c>
      <c r="E218" t="inlineStr">
        <is>
          <t>Monitor</t>
        </is>
      </c>
      <c r="F218" t="inlineStr">
        <is>
          <t>Electronics</t>
        </is>
      </c>
      <c r="G218" s="3" t="n">
        <v>10</v>
      </c>
      <c r="H218" s="4" t="n">
        <v>14000</v>
      </c>
      <c r="I218" s="4" t="n">
        <v>140000</v>
      </c>
      <c r="J218" s="4" t="n">
        <v>91856</v>
      </c>
      <c r="K218" s="4" t="n">
        <v>48144</v>
      </c>
    </row>
    <row r="219">
      <c r="A219" t="inlineStr">
        <is>
          <t>ORD-1218</t>
        </is>
      </c>
      <c r="B219" s="2" t="n">
        <v>45991</v>
      </c>
      <c r="C219" t="inlineStr">
        <is>
          <t>North</t>
        </is>
      </c>
      <c r="D219" t="inlineStr">
        <is>
          <t>Amit Sharma</t>
        </is>
      </c>
      <c r="E219" t="inlineStr">
        <is>
          <t>Keyboard</t>
        </is>
      </c>
      <c r="F219" t="inlineStr">
        <is>
          <t>Accessories</t>
        </is>
      </c>
      <c r="G219" s="3" t="n">
        <v>2</v>
      </c>
      <c r="H219" s="4" t="n">
        <v>2500</v>
      </c>
      <c r="I219" s="4" t="n">
        <v>5000</v>
      </c>
      <c r="J219" s="4" t="n">
        <v>3603</v>
      </c>
      <c r="K219" s="4" t="n">
        <v>1397</v>
      </c>
    </row>
    <row r="220">
      <c r="A220" t="inlineStr">
        <is>
          <t>ORD-1219</t>
        </is>
      </c>
      <c r="B220" s="2" t="n">
        <v>45890</v>
      </c>
      <c r="C220" t="inlineStr">
        <is>
          <t>West</t>
        </is>
      </c>
      <c r="D220" t="inlineStr">
        <is>
          <t>Kavita Patil</t>
        </is>
      </c>
      <c r="E220" t="inlineStr">
        <is>
          <t>Monitor</t>
        </is>
      </c>
      <c r="F220" t="inlineStr">
        <is>
          <t>Electronics</t>
        </is>
      </c>
      <c r="G220" s="3" t="n">
        <v>4</v>
      </c>
      <c r="H220" s="4" t="n">
        <v>14000</v>
      </c>
      <c r="I220" s="4" t="n">
        <v>56000</v>
      </c>
      <c r="J220" s="4" t="n">
        <v>35435</v>
      </c>
      <c r="K220" s="4" t="n">
        <v>20565</v>
      </c>
    </row>
    <row r="221">
      <c r="A221" t="inlineStr">
        <is>
          <t>ORD-1220</t>
        </is>
      </c>
      <c r="B221" s="2" t="n">
        <v>45818</v>
      </c>
      <c r="C221" t="inlineStr">
        <is>
          <t>West</t>
        </is>
      </c>
      <c r="D221" t="inlineStr">
        <is>
          <t>Kavita Patil</t>
        </is>
      </c>
      <c r="E221" t="inlineStr">
        <is>
          <t>Keyboard</t>
        </is>
      </c>
      <c r="F221" t="inlineStr">
        <is>
          <t>Accessories</t>
        </is>
      </c>
      <c r="G221" s="3" t="n">
        <v>2</v>
      </c>
      <c r="H221" s="4" t="n">
        <v>2500</v>
      </c>
      <c r="I221" s="4" t="n">
        <v>5000</v>
      </c>
      <c r="J221" s="4" t="n">
        <v>3063</v>
      </c>
      <c r="K221" s="4" t="n">
        <v>1937</v>
      </c>
    </row>
    <row r="222">
      <c r="A222" t="inlineStr">
        <is>
          <t>ORD-1221</t>
        </is>
      </c>
      <c r="B222" s="2" t="n">
        <v>45692</v>
      </c>
      <c r="C222" t="inlineStr">
        <is>
          <t>East</t>
        </is>
      </c>
      <c r="D222" t="inlineStr">
        <is>
          <t>Sourav Das</t>
        </is>
      </c>
      <c r="E222" t="inlineStr">
        <is>
          <t>Smartphone</t>
        </is>
      </c>
      <c r="F222" t="inlineStr">
        <is>
          <t>Electronics</t>
        </is>
      </c>
      <c r="G222" s="3" t="n">
        <v>11</v>
      </c>
      <c r="H222" s="4" t="n">
        <v>22000</v>
      </c>
      <c r="I222" s="4" t="n">
        <v>242000</v>
      </c>
      <c r="J222" s="4" t="n">
        <v>177772</v>
      </c>
      <c r="K222" s="4" t="n">
        <v>64228</v>
      </c>
    </row>
    <row r="223">
      <c r="A223" t="inlineStr">
        <is>
          <t>ORD-1222</t>
        </is>
      </c>
      <c r="B223" s="2" t="n">
        <v>45848</v>
      </c>
      <c r="C223" t="inlineStr">
        <is>
          <t>North</t>
        </is>
      </c>
      <c r="D223" t="inlineStr">
        <is>
          <t>Amit Sharma</t>
        </is>
      </c>
      <c r="E223" t="inlineStr">
        <is>
          <t>Laptop</t>
        </is>
      </c>
      <c r="F223" t="inlineStr">
        <is>
          <t>Electronics</t>
        </is>
      </c>
      <c r="G223" s="3" t="n">
        <v>7</v>
      </c>
      <c r="H223" s="4" t="n">
        <v>55000</v>
      </c>
      <c r="I223" s="4" t="n">
        <v>385000</v>
      </c>
      <c r="J223" s="4" t="n">
        <v>219185</v>
      </c>
      <c r="K223" s="4" t="n">
        <v>165815</v>
      </c>
    </row>
    <row r="224">
      <c r="A224" t="inlineStr">
        <is>
          <t>ORD-1223</t>
        </is>
      </c>
      <c r="B224" s="2" t="n">
        <v>46001</v>
      </c>
      <c r="C224" t="inlineStr">
        <is>
          <t>North</t>
        </is>
      </c>
      <c r="D224" t="inlineStr">
        <is>
          <t>Amit Sharma</t>
        </is>
      </c>
      <c r="E224" t="inlineStr">
        <is>
          <t>Headphones</t>
        </is>
      </c>
      <c r="F224" t="inlineStr">
        <is>
          <t>Accessories</t>
        </is>
      </c>
      <c r="G224" s="3" t="n">
        <v>9</v>
      </c>
      <c r="H224" s="4" t="n">
        <v>3500</v>
      </c>
      <c r="I224" s="4" t="n">
        <v>31500</v>
      </c>
      <c r="J224" s="4" t="n">
        <v>20864</v>
      </c>
      <c r="K224" s="4" t="n">
        <v>10636</v>
      </c>
    </row>
    <row r="225">
      <c r="A225" t="inlineStr">
        <is>
          <t>ORD-1224</t>
        </is>
      </c>
      <c r="B225" s="2" t="n">
        <v>45874</v>
      </c>
      <c r="C225" t="inlineStr">
        <is>
          <t>West</t>
        </is>
      </c>
      <c r="D225" t="inlineStr">
        <is>
          <t>Vikram Mehta</t>
        </is>
      </c>
      <c r="E225" t="inlineStr">
        <is>
          <t>Tablet</t>
        </is>
      </c>
      <c r="F225" t="inlineStr">
        <is>
          <t>Electronics</t>
        </is>
      </c>
      <c r="G225" s="3" t="n">
        <v>11</v>
      </c>
      <c r="H225" s="4" t="n">
        <v>18000</v>
      </c>
      <c r="I225" s="4" t="n">
        <v>198000</v>
      </c>
      <c r="J225" s="4" t="n">
        <v>146169</v>
      </c>
      <c r="K225" s="4" t="n">
        <v>51831</v>
      </c>
    </row>
    <row r="226">
      <c r="A226" t="inlineStr">
        <is>
          <t>ORD-1225</t>
        </is>
      </c>
      <c r="B226" s="2" t="n">
        <v>45953</v>
      </c>
      <c r="C226" t="inlineStr">
        <is>
          <t>East</t>
        </is>
      </c>
      <c r="D226" t="inlineStr">
        <is>
          <t>Sourav Das</t>
        </is>
      </c>
      <c r="E226" t="inlineStr">
        <is>
          <t>Headphones</t>
        </is>
      </c>
      <c r="F226" t="inlineStr">
        <is>
          <t>Accessories</t>
        </is>
      </c>
      <c r="G226" s="3" t="n">
        <v>5</v>
      </c>
      <c r="H226" s="4" t="n">
        <v>3500</v>
      </c>
      <c r="I226" s="4" t="n">
        <v>17500</v>
      </c>
      <c r="J226" s="4" t="n">
        <v>10856</v>
      </c>
      <c r="K226" s="4" t="n">
        <v>6644</v>
      </c>
    </row>
    <row r="227">
      <c r="A227" t="inlineStr">
        <is>
          <t>ORD-1226</t>
        </is>
      </c>
      <c r="B227" s="2" t="n">
        <v>45713</v>
      </c>
      <c r="C227" t="inlineStr">
        <is>
          <t>South</t>
        </is>
      </c>
      <c r="D227" t="inlineStr">
        <is>
          <t>Divya Menon</t>
        </is>
      </c>
      <c r="E227" t="inlineStr">
        <is>
          <t>Keyboard</t>
        </is>
      </c>
      <c r="F227" t="inlineStr">
        <is>
          <t>Accessories</t>
        </is>
      </c>
      <c r="G227" s="3" t="n">
        <v>8</v>
      </c>
      <c r="H227" s="4" t="n">
        <v>2500</v>
      </c>
      <c r="I227" s="4" t="n">
        <v>20000</v>
      </c>
      <c r="J227" s="4" t="n">
        <v>11897</v>
      </c>
      <c r="K227" s="4" t="n">
        <v>8103</v>
      </c>
    </row>
    <row r="228">
      <c r="A228" t="inlineStr">
        <is>
          <t>ORD-1227</t>
        </is>
      </c>
      <c r="B228" s="2" t="n">
        <v>45877</v>
      </c>
      <c r="C228" t="inlineStr">
        <is>
          <t>East</t>
        </is>
      </c>
      <c r="D228" t="inlineStr">
        <is>
          <t>Sourav Das</t>
        </is>
      </c>
      <c r="E228" t="inlineStr">
        <is>
          <t>Laptop</t>
        </is>
      </c>
      <c r="F228" t="inlineStr">
        <is>
          <t>Electronics</t>
        </is>
      </c>
      <c r="G228" s="3" t="n">
        <v>5</v>
      </c>
      <c r="H228" s="4" t="n">
        <v>55000</v>
      </c>
      <c r="I228" s="4" t="n">
        <v>275000</v>
      </c>
      <c r="J228" s="4" t="n">
        <v>182826</v>
      </c>
      <c r="K228" s="4" t="n">
        <v>92174</v>
      </c>
    </row>
    <row r="229">
      <c r="A229" t="inlineStr">
        <is>
          <t>ORD-1228</t>
        </is>
      </c>
      <c r="B229" s="2" t="n">
        <v>45816</v>
      </c>
      <c r="C229" t="inlineStr">
        <is>
          <t>East</t>
        </is>
      </c>
      <c r="D229" t="inlineStr">
        <is>
          <t>Anita Roy</t>
        </is>
      </c>
      <c r="E229" t="inlineStr">
        <is>
          <t>Laptop</t>
        </is>
      </c>
      <c r="F229" t="inlineStr">
        <is>
          <t>Electronics</t>
        </is>
      </c>
      <c r="G229" s="3" t="n">
        <v>3</v>
      </c>
      <c r="H229" s="4" t="n">
        <v>55000</v>
      </c>
      <c r="I229" s="4" t="n">
        <v>165000</v>
      </c>
      <c r="J229" s="4" t="n">
        <v>99768</v>
      </c>
      <c r="K229" s="4" t="n">
        <v>65232</v>
      </c>
    </row>
    <row r="230">
      <c r="A230" t="inlineStr">
        <is>
          <t>ORD-1229</t>
        </is>
      </c>
      <c r="B230" s="2" t="n">
        <v>45947</v>
      </c>
      <c r="C230" t="inlineStr">
        <is>
          <t>East</t>
        </is>
      </c>
      <c r="D230" t="inlineStr">
        <is>
          <t>Anita Roy</t>
        </is>
      </c>
      <c r="E230" t="inlineStr">
        <is>
          <t>Laptop</t>
        </is>
      </c>
      <c r="F230" t="inlineStr">
        <is>
          <t>Electronics</t>
        </is>
      </c>
      <c r="G230" s="3" t="n">
        <v>3</v>
      </c>
      <c r="H230" s="4" t="n">
        <v>55000</v>
      </c>
      <c r="I230" s="4" t="n">
        <v>165000</v>
      </c>
      <c r="J230" s="4" t="n">
        <v>119455</v>
      </c>
      <c r="K230" s="4" t="n">
        <v>45545</v>
      </c>
    </row>
    <row r="231">
      <c r="A231" t="inlineStr">
        <is>
          <t>ORD-1230</t>
        </is>
      </c>
      <c r="B231" s="2" t="n">
        <v>45673</v>
      </c>
      <c r="C231" t="inlineStr">
        <is>
          <t>North</t>
        </is>
      </c>
      <c r="D231" t="inlineStr">
        <is>
          <t>Amit Sharma</t>
        </is>
      </c>
      <c r="E231" t="inlineStr">
        <is>
          <t>Smartphone</t>
        </is>
      </c>
      <c r="F231" t="inlineStr">
        <is>
          <t>Electronics</t>
        </is>
      </c>
      <c r="G231" s="3" t="n">
        <v>12</v>
      </c>
      <c r="H231" s="4" t="n">
        <v>22000</v>
      </c>
      <c r="I231" s="4" t="n">
        <v>264000</v>
      </c>
      <c r="J231" s="4" t="n">
        <v>178631</v>
      </c>
      <c r="K231" s="4" t="n">
        <v>85369</v>
      </c>
    </row>
    <row r="232">
      <c r="A232" t="inlineStr">
        <is>
          <t>ORD-1231</t>
        </is>
      </c>
      <c r="B232" s="2" t="n">
        <v>45738</v>
      </c>
      <c r="C232" t="inlineStr">
        <is>
          <t>South</t>
        </is>
      </c>
      <c r="D232" t="inlineStr">
        <is>
          <t>Divya Menon</t>
        </is>
      </c>
      <c r="E232" t="inlineStr">
        <is>
          <t>Monitor</t>
        </is>
      </c>
      <c r="F232" t="inlineStr">
        <is>
          <t>Electronics</t>
        </is>
      </c>
      <c r="G232" s="3" t="n">
        <v>7</v>
      </c>
      <c r="H232" s="4" t="n">
        <v>14000</v>
      </c>
      <c r="I232" s="4" t="n">
        <v>98000</v>
      </c>
      <c r="J232" s="4" t="n">
        <v>62791</v>
      </c>
      <c r="K232" s="4" t="n">
        <v>35209</v>
      </c>
    </row>
    <row r="233">
      <c r="A233" t="inlineStr">
        <is>
          <t>ORD-1232</t>
        </is>
      </c>
      <c r="B233" s="2" t="n">
        <v>45948</v>
      </c>
      <c r="C233" t="inlineStr">
        <is>
          <t>East</t>
        </is>
      </c>
      <c r="D233" t="inlineStr">
        <is>
          <t>Sourav Das</t>
        </is>
      </c>
      <c r="E233" t="inlineStr">
        <is>
          <t>Keyboard</t>
        </is>
      </c>
      <c r="F233" t="inlineStr">
        <is>
          <t>Accessories</t>
        </is>
      </c>
      <c r="G233" s="3" t="n">
        <v>6</v>
      </c>
      <c r="H233" s="4" t="n">
        <v>2500</v>
      </c>
      <c r="I233" s="4" t="n">
        <v>15000</v>
      </c>
      <c r="J233" s="4" t="n">
        <v>10581</v>
      </c>
      <c r="K233" s="4" t="n">
        <v>4419</v>
      </c>
    </row>
    <row r="234">
      <c r="A234" t="inlineStr">
        <is>
          <t>ORD-1233</t>
        </is>
      </c>
      <c r="B234" s="2" t="n">
        <v>45683</v>
      </c>
      <c r="C234" t="inlineStr">
        <is>
          <t>North</t>
        </is>
      </c>
      <c r="D234" t="inlineStr">
        <is>
          <t>Amit Sharma</t>
        </is>
      </c>
      <c r="E234" t="inlineStr">
        <is>
          <t>Smartphone</t>
        </is>
      </c>
      <c r="F234" t="inlineStr">
        <is>
          <t>Electronics</t>
        </is>
      </c>
      <c r="G234" s="3" t="n">
        <v>3</v>
      </c>
      <c r="H234" s="4" t="n">
        <v>22000</v>
      </c>
      <c r="I234" s="4" t="n">
        <v>66000</v>
      </c>
      <c r="J234" s="4" t="n">
        <v>46259</v>
      </c>
      <c r="K234" s="4" t="n">
        <v>19741</v>
      </c>
    </row>
    <row r="235">
      <c r="A235" t="inlineStr">
        <is>
          <t>ORD-1234</t>
        </is>
      </c>
      <c r="B235" s="2" t="n">
        <v>45968</v>
      </c>
      <c r="C235" t="inlineStr">
        <is>
          <t>East</t>
        </is>
      </c>
      <c r="D235" t="inlineStr">
        <is>
          <t>Anita Roy</t>
        </is>
      </c>
      <c r="E235" t="inlineStr">
        <is>
          <t>Monitor</t>
        </is>
      </c>
      <c r="F235" t="inlineStr">
        <is>
          <t>Electronics</t>
        </is>
      </c>
      <c r="G235" s="3" t="n">
        <v>11</v>
      </c>
      <c r="H235" s="4" t="n">
        <v>14000</v>
      </c>
      <c r="I235" s="4" t="n">
        <v>154000</v>
      </c>
      <c r="J235" s="4" t="n">
        <v>97760</v>
      </c>
      <c r="K235" s="4" t="n">
        <v>56240</v>
      </c>
    </row>
    <row r="236">
      <c r="A236" t="inlineStr">
        <is>
          <t>ORD-1235</t>
        </is>
      </c>
      <c r="B236" s="2" t="n">
        <v>45716</v>
      </c>
      <c r="C236" t="inlineStr">
        <is>
          <t>West</t>
        </is>
      </c>
      <c r="D236" t="inlineStr">
        <is>
          <t>Kavita Patil</t>
        </is>
      </c>
      <c r="E236" t="inlineStr">
        <is>
          <t>Tablet</t>
        </is>
      </c>
      <c r="F236" t="inlineStr">
        <is>
          <t>Electronics</t>
        </is>
      </c>
      <c r="G236" s="3" t="n">
        <v>4</v>
      </c>
      <c r="H236" s="4" t="n">
        <v>18000</v>
      </c>
      <c r="I236" s="4" t="n">
        <v>72000</v>
      </c>
      <c r="J236" s="4" t="n">
        <v>50471</v>
      </c>
      <c r="K236" s="4" t="n">
        <v>21529</v>
      </c>
    </row>
    <row r="237">
      <c r="A237" t="inlineStr">
        <is>
          <t>ORD-1236</t>
        </is>
      </c>
      <c r="B237" s="2" t="n">
        <v>45961</v>
      </c>
      <c r="C237" t="inlineStr">
        <is>
          <t>West</t>
        </is>
      </c>
      <c r="D237" t="inlineStr">
        <is>
          <t>Kavita Patil</t>
        </is>
      </c>
      <c r="E237" t="inlineStr">
        <is>
          <t>Laptop</t>
        </is>
      </c>
      <c r="F237" t="inlineStr">
        <is>
          <t>Electronics</t>
        </is>
      </c>
      <c r="G237" s="3" t="n">
        <v>5</v>
      </c>
      <c r="H237" s="4" t="n">
        <v>55000</v>
      </c>
      <c r="I237" s="4" t="n">
        <v>275000</v>
      </c>
      <c r="J237" s="4" t="n">
        <v>188552</v>
      </c>
      <c r="K237" s="4" t="n">
        <v>86448</v>
      </c>
    </row>
    <row r="238">
      <c r="A238" t="inlineStr">
        <is>
          <t>ORD-1237</t>
        </is>
      </c>
      <c r="B238" s="2" t="n">
        <v>45964</v>
      </c>
      <c r="C238" t="inlineStr">
        <is>
          <t>East</t>
        </is>
      </c>
      <c r="D238" t="inlineStr">
        <is>
          <t>Sourav Das</t>
        </is>
      </c>
      <c r="E238" t="inlineStr">
        <is>
          <t>Laptop</t>
        </is>
      </c>
      <c r="F238" t="inlineStr">
        <is>
          <t>Electronics</t>
        </is>
      </c>
      <c r="G238" s="3" t="n">
        <v>4</v>
      </c>
      <c r="H238" s="4" t="n">
        <v>55000</v>
      </c>
      <c r="I238" s="4" t="n">
        <v>220000</v>
      </c>
      <c r="J238" s="4" t="n">
        <v>138392</v>
      </c>
      <c r="K238" s="4" t="n">
        <v>81608</v>
      </c>
    </row>
    <row r="239">
      <c r="A239" t="inlineStr">
        <is>
          <t>ORD-1238</t>
        </is>
      </c>
      <c r="B239" s="2" t="n">
        <v>45728</v>
      </c>
      <c r="C239" t="inlineStr">
        <is>
          <t>North</t>
        </is>
      </c>
      <c r="D239" t="inlineStr">
        <is>
          <t>Priya Verma</t>
        </is>
      </c>
      <c r="E239" t="inlineStr">
        <is>
          <t>Smartphone</t>
        </is>
      </c>
      <c r="F239" t="inlineStr">
        <is>
          <t>Electronics</t>
        </is>
      </c>
      <c r="G239" s="3" t="n">
        <v>5</v>
      </c>
      <c r="H239" s="4" t="n">
        <v>22000</v>
      </c>
      <c r="I239" s="4" t="n">
        <v>110000</v>
      </c>
      <c r="J239" s="4" t="n">
        <v>81297</v>
      </c>
      <c r="K239" s="4" t="n">
        <v>28703</v>
      </c>
    </row>
    <row r="240">
      <c r="A240" t="inlineStr">
        <is>
          <t>ORD-1239</t>
        </is>
      </c>
      <c r="B240" s="2" t="n">
        <v>45878</v>
      </c>
      <c r="C240" t="inlineStr">
        <is>
          <t>East</t>
        </is>
      </c>
      <c r="D240" t="inlineStr">
        <is>
          <t>Sourav Das</t>
        </is>
      </c>
      <c r="E240" t="inlineStr">
        <is>
          <t>Tablet</t>
        </is>
      </c>
      <c r="F240" t="inlineStr">
        <is>
          <t>Electronics</t>
        </is>
      </c>
      <c r="G240" s="3" t="n">
        <v>2</v>
      </c>
      <c r="H240" s="4" t="n">
        <v>18000</v>
      </c>
      <c r="I240" s="4" t="n">
        <v>36000</v>
      </c>
      <c r="J240" s="4" t="n">
        <v>19856</v>
      </c>
      <c r="K240" s="4" t="n">
        <v>16144</v>
      </c>
    </row>
    <row r="241">
      <c r="A241" t="inlineStr">
        <is>
          <t>ORD-1240</t>
        </is>
      </c>
      <c r="B241" s="2" t="n">
        <v>45914</v>
      </c>
      <c r="C241" t="inlineStr">
        <is>
          <t>South</t>
        </is>
      </c>
      <c r="D241" t="inlineStr">
        <is>
          <t>Divya Menon</t>
        </is>
      </c>
      <c r="E241" t="inlineStr">
        <is>
          <t>Monitor</t>
        </is>
      </c>
      <c r="F241" t="inlineStr">
        <is>
          <t>Electronics</t>
        </is>
      </c>
      <c r="G241" s="3" t="n">
        <v>9</v>
      </c>
      <c r="H241" s="4" t="n">
        <v>14000</v>
      </c>
      <c r="I241" s="4" t="n">
        <v>126000</v>
      </c>
      <c r="J241" s="4" t="n">
        <v>87033</v>
      </c>
      <c r="K241" s="4" t="n">
        <v>38967</v>
      </c>
    </row>
    <row r="242">
      <c r="A242" t="inlineStr">
        <is>
          <t>ORD-1241</t>
        </is>
      </c>
      <c r="B242" s="2" t="n">
        <v>45667</v>
      </c>
      <c r="C242" t="inlineStr">
        <is>
          <t>North</t>
        </is>
      </c>
      <c r="D242" t="inlineStr">
        <is>
          <t>Priya Verma</t>
        </is>
      </c>
      <c r="E242" t="inlineStr">
        <is>
          <t>Monitor</t>
        </is>
      </c>
      <c r="F242" t="inlineStr">
        <is>
          <t>Electronics</t>
        </is>
      </c>
      <c r="G242" s="3" t="n">
        <v>12</v>
      </c>
      <c r="H242" s="4" t="n">
        <v>14000</v>
      </c>
      <c r="I242" s="4" t="n">
        <v>168000</v>
      </c>
      <c r="J242" s="4" t="n">
        <v>93821</v>
      </c>
      <c r="K242" s="4" t="n">
        <v>74179</v>
      </c>
    </row>
    <row r="243">
      <c r="A243" t="inlineStr">
        <is>
          <t>ORD-1242</t>
        </is>
      </c>
      <c r="B243" s="2" t="n">
        <v>45865</v>
      </c>
      <c r="C243" t="inlineStr">
        <is>
          <t>North</t>
        </is>
      </c>
      <c r="D243" t="inlineStr">
        <is>
          <t>Priya Verma</t>
        </is>
      </c>
      <c r="E243" t="inlineStr">
        <is>
          <t>Tablet</t>
        </is>
      </c>
      <c r="F243" t="inlineStr">
        <is>
          <t>Electronics</t>
        </is>
      </c>
      <c r="G243" s="3" t="n">
        <v>10</v>
      </c>
      <c r="H243" s="4" t="n">
        <v>18000</v>
      </c>
      <c r="I243" s="4" t="n">
        <v>180000</v>
      </c>
      <c r="J243" s="4" t="n">
        <v>114454</v>
      </c>
      <c r="K243" s="4" t="n">
        <v>65546</v>
      </c>
    </row>
    <row r="244">
      <c r="A244" t="inlineStr">
        <is>
          <t>ORD-1243</t>
        </is>
      </c>
      <c r="B244" s="2" t="n">
        <v>45824</v>
      </c>
      <c r="C244" t="inlineStr">
        <is>
          <t>East</t>
        </is>
      </c>
      <c r="D244" t="inlineStr">
        <is>
          <t>Sourav Das</t>
        </is>
      </c>
      <c r="E244" t="inlineStr">
        <is>
          <t>Laptop</t>
        </is>
      </c>
      <c r="F244" t="inlineStr">
        <is>
          <t>Electronics</t>
        </is>
      </c>
      <c r="G244" s="3" t="n">
        <v>7</v>
      </c>
      <c r="H244" s="4" t="n">
        <v>55000</v>
      </c>
      <c r="I244" s="4" t="n">
        <v>385000</v>
      </c>
      <c r="J244" s="4" t="n">
        <v>213356</v>
      </c>
      <c r="K244" s="4" t="n">
        <v>171644</v>
      </c>
    </row>
    <row r="245">
      <c r="A245" t="inlineStr">
        <is>
          <t>ORD-1244</t>
        </is>
      </c>
      <c r="B245" s="2" t="n">
        <v>45712</v>
      </c>
      <c r="C245" t="inlineStr">
        <is>
          <t>West</t>
        </is>
      </c>
      <c r="D245" t="inlineStr">
        <is>
          <t>Vikram Mehta</t>
        </is>
      </c>
      <c r="E245" t="inlineStr">
        <is>
          <t>Keyboard</t>
        </is>
      </c>
      <c r="F245" t="inlineStr">
        <is>
          <t>Accessories</t>
        </is>
      </c>
      <c r="G245" s="3" t="n">
        <v>6</v>
      </c>
      <c r="H245" s="4" t="n">
        <v>2500</v>
      </c>
      <c r="I245" s="4" t="n">
        <v>15000</v>
      </c>
      <c r="J245" s="4" t="n">
        <v>8514</v>
      </c>
      <c r="K245" s="4" t="n">
        <v>6486</v>
      </c>
    </row>
    <row r="246">
      <c r="A246" t="inlineStr">
        <is>
          <t>ORD-1245</t>
        </is>
      </c>
      <c r="B246" s="2" t="n">
        <v>45860</v>
      </c>
      <c r="C246" t="inlineStr">
        <is>
          <t>West</t>
        </is>
      </c>
      <c r="D246" t="inlineStr">
        <is>
          <t>Kavita Patil</t>
        </is>
      </c>
      <c r="E246" t="inlineStr">
        <is>
          <t>Headphones</t>
        </is>
      </c>
      <c r="F246" t="inlineStr">
        <is>
          <t>Accessories</t>
        </is>
      </c>
      <c r="G246" s="3" t="n">
        <v>7</v>
      </c>
      <c r="H246" s="4" t="n">
        <v>3500</v>
      </c>
      <c r="I246" s="4" t="n">
        <v>24500</v>
      </c>
      <c r="J246" s="4" t="n">
        <v>16042</v>
      </c>
      <c r="K246" s="4" t="n">
        <v>8458</v>
      </c>
    </row>
    <row r="247">
      <c r="A247" t="inlineStr">
        <is>
          <t>ORD-1246</t>
        </is>
      </c>
      <c r="B247" s="2" t="n">
        <v>45697</v>
      </c>
      <c r="C247" t="inlineStr">
        <is>
          <t>East</t>
        </is>
      </c>
      <c r="D247" t="inlineStr">
        <is>
          <t>Sourav Das</t>
        </is>
      </c>
      <c r="E247" t="inlineStr">
        <is>
          <t>Smartphone</t>
        </is>
      </c>
      <c r="F247" t="inlineStr">
        <is>
          <t>Electronics</t>
        </is>
      </c>
      <c r="G247" s="3" t="n">
        <v>6</v>
      </c>
      <c r="H247" s="4" t="n">
        <v>22000</v>
      </c>
      <c r="I247" s="4" t="n">
        <v>132000</v>
      </c>
      <c r="J247" s="4" t="n">
        <v>93169</v>
      </c>
      <c r="K247" s="4" t="n">
        <v>38831</v>
      </c>
    </row>
    <row r="248">
      <c r="A248" t="inlineStr">
        <is>
          <t>ORD-1247</t>
        </is>
      </c>
      <c r="B248" s="2" t="n">
        <v>45988</v>
      </c>
      <c r="C248" t="inlineStr">
        <is>
          <t>South</t>
        </is>
      </c>
      <c r="D248" t="inlineStr">
        <is>
          <t>Ravi Nair</t>
        </is>
      </c>
      <c r="E248" t="inlineStr">
        <is>
          <t>Tablet</t>
        </is>
      </c>
      <c r="F248" t="inlineStr">
        <is>
          <t>Electronics</t>
        </is>
      </c>
      <c r="G248" s="3" t="n">
        <v>6</v>
      </c>
      <c r="H248" s="4" t="n">
        <v>18000</v>
      </c>
      <c r="I248" s="4" t="n">
        <v>108000</v>
      </c>
      <c r="J248" s="4" t="n">
        <v>75111</v>
      </c>
      <c r="K248" s="4" t="n">
        <v>32889</v>
      </c>
    </row>
    <row r="249">
      <c r="A249" t="inlineStr">
        <is>
          <t>ORD-1248</t>
        </is>
      </c>
      <c r="B249" s="2" t="n">
        <v>45746</v>
      </c>
      <c r="C249" t="inlineStr">
        <is>
          <t>South</t>
        </is>
      </c>
      <c r="D249" t="inlineStr">
        <is>
          <t>Ravi Nair</t>
        </is>
      </c>
      <c r="E249" t="inlineStr">
        <is>
          <t>Laptop</t>
        </is>
      </c>
      <c r="F249" t="inlineStr">
        <is>
          <t>Electronics</t>
        </is>
      </c>
      <c r="G249" s="3" t="n">
        <v>3</v>
      </c>
      <c r="H249" s="4" t="n">
        <v>55000</v>
      </c>
      <c r="I249" s="4" t="n">
        <v>165000</v>
      </c>
      <c r="J249" s="4" t="n">
        <v>99197</v>
      </c>
      <c r="K249" s="4" t="n">
        <v>65803</v>
      </c>
    </row>
    <row r="250">
      <c r="A250" t="inlineStr">
        <is>
          <t>ORD-1249</t>
        </is>
      </c>
      <c r="B250" s="2" t="n">
        <v>45946</v>
      </c>
      <c r="C250" t="inlineStr">
        <is>
          <t>North</t>
        </is>
      </c>
      <c r="D250" t="inlineStr">
        <is>
          <t>Priya Verma</t>
        </is>
      </c>
      <c r="E250" t="inlineStr">
        <is>
          <t>Smartphone</t>
        </is>
      </c>
      <c r="F250" t="inlineStr">
        <is>
          <t>Electronics</t>
        </is>
      </c>
      <c r="G250" s="3" t="n">
        <v>11</v>
      </c>
      <c r="H250" s="4" t="n">
        <v>22000</v>
      </c>
      <c r="I250" s="4" t="n">
        <v>242000</v>
      </c>
      <c r="J250" s="4" t="n">
        <v>157015</v>
      </c>
      <c r="K250" s="4" t="n">
        <v>84985</v>
      </c>
    </row>
    <row r="251">
      <c r="A251" t="inlineStr">
        <is>
          <t>ORD-1250</t>
        </is>
      </c>
      <c r="B251" s="2" t="n">
        <v>45692</v>
      </c>
      <c r="C251" t="inlineStr">
        <is>
          <t>East</t>
        </is>
      </c>
      <c r="D251" t="inlineStr">
        <is>
          <t>Anita Roy</t>
        </is>
      </c>
      <c r="E251" t="inlineStr">
        <is>
          <t>Keyboard</t>
        </is>
      </c>
      <c r="F251" t="inlineStr">
        <is>
          <t>Accessories</t>
        </is>
      </c>
      <c r="G251" s="3" t="n">
        <v>6</v>
      </c>
      <c r="H251" s="4" t="n">
        <v>2500</v>
      </c>
      <c r="I251" s="4" t="n">
        <v>15000</v>
      </c>
      <c r="J251" s="4" t="n">
        <v>8703</v>
      </c>
      <c r="K251" s="4" t="n">
        <v>6297</v>
      </c>
    </row>
    <row r="252">
      <c r="A252" t="inlineStr">
        <is>
          <t>ORD-1251</t>
        </is>
      </c>
      <c r="B252" s="2" t="n">
        <v>45960</v>
      </c>
      <c r="C252" t="inlineStr">
        <is>
          <t>West</t>
        </is>
      </c>
      <c r="D252" t="inlineStr">
        <is>
          <t>Vikram Mehta</t>
        </is>
      </c>
      <c r="E252" t="inlineStr">
        <is>
          <t>Keyboard</t>
        </is>
      </c>
      <c r="F252" t="inlineStr">
        <is>
          <t>Accessories</t>
        </is>
      </c>
      <c r="G252" s="3" t="n">
        <v>5</v>
      </c>
      <c r="H252" s="4" t="n">
        <v>2500</v>
      </c>
      <c r="I252" s="4" t="n">
        <v>12500</v>
      </c>
      <c r="J252" s="4" t="n">
        <v>8866</v>
      </c>
      <c r="K252" s="4" t="n">
        <v>3634</v>
      </c>
    </row>
    <row r="253">
      <c r="A253" t="inlineStr">
        <is>
          <t>ORD-1252</t>
        </is>
      </c>
      <c r="B253" s="2" t="n">
        <v>45889</v>
      </c>
      <c r="C253" t="inlineStr">
        <is>
          <t>East</t>
        </is>
      </c>
      <c r="D253" t="inlineStr">
        <is>
          <t>Sourav Das</t>
        </is>
      </c>
      <c r="E253" t="inlineStr">
        <is>
          <t>Headphones</t>
        </is>
      </c>
      <c r="F253" t="inlineStr">
        <is>
          <t>Accessories</t>
        </is>
      </c>
      <c r="G253" s="3" t="n">
        <v>2</v>
      </c>
      <c r="H253" s="4" t="n">
        <v>3500</v>
      </c>
      <c r="I253" s="4" t="n">
        <v>7000</v>
      </c>
      <c r="J253" s="4" t="n">
        <v>4285</v>
      </c>
      <c r="K253" s="4" t="n">
        <v>2715</v>
      </c>
    </row>
    <row r="254">
      <c r="A254" t="inlineStr">
        <is>
          <t>ORD-1253</t>
        </is>
      </c>
      <c r="B254" s="2" t="n">
        <v>45704</v>
      </c>
      <c r="C254" t="inlineStr">
        <is>
          <t>North</t>
        </is>
      </c>
      <c r="D254" t="inlineStr">
        <is>
          <t>Priya Verma</t>
        </is>
      </c>
      <c r="E254" t="inlineStr">
        <is>
          <t>Tablet</t>
        </is>
      </c>
      <c r="F254" t="inlineStr">
        <is>
          <t>Electronics</t>
        </is>
      </c>
      <c r="G254" s="3" t="n">
        <v>5</v>
      </c>
      <c r="H254" s="4" t="n">
        <v>18000</v>
      </c>
      <c r="I254" s="4" t="n">
        <v>90000</v>
      </c>
      <c r="J254" s="4" t="n">
        <v>50881</v>
      </c>
      <c r="K254" s="4" t="n">
        <v>39119</v>
      </c>
    </row>
    <row r="255">
      <c r="A255" t="inlineStr">
        <is>
          <t>ORD-1254</t>
        </is>
      </c>
      <c r="B255" s="2" t="n">
        <v>45679</v>
      </c>
      <c r="C255" t="inlineStr">
        <is>
          <t>West</t>
        </is>
      </c>
      <c r="D255" t="inlineStr">
        <is>
          <t>Kavita Patil</t>
        </is>
      </c>
      <c r="E255" t="inlineStr">
        <is>
          <t>Headphones</t>
        </is>
      </c>
      <c r="F255" t="inlineStr">
        <is>
          <t>Accessories</t>
        </is>
      </c>
      <c r="G255" s="3" t="n">
        <v>9</v>
      </c>
      <c r="H255" s="4" t="n">
        <v>3500</v>
      </c>
      <c r="I255" s="4" t="n">
        <v>31500</v>
      </c>
      <c r="J255" s="4" t="n">
        <v>23337</v>
      </c>
      <c r="K255" s="4" t="n">
        <v>8163</v>
      </c>
    </row>
    <row r="256">
      <c r="A256" t="inlineStr">
        <is>
          <t>ORD-1255</t>
        </is>
      </c>
      <c r="B256" s="2" t="n">
        <v>45735</v>
      </c>
      <c r="C256" t="inlineStr">
        <is>
          <t>South</t>
        </is>
      </c>
      <c r="D256" t="inlineStr">
        <is>
          <t>Ravi Nair</t>
        </is>
      </c>
      <c r="E256" t="inlineStr">
        <is>
          <t>Tablet</t>
        </is>
      </c>
      <c r="F256" t="inlineStr">
        <is>
          <t>Electronics</t>
        </is>
      </c>
      <c r="G256" s="3" t="n">
        <v>10</v>
      </c>
      <c r="H256" s="4" t="n">
        <v>18000</v>
      </c>
      <c r="I256" s="4" t="n">
        <v>180000</v>
      </c>
      <c r="J256" s="4" t="n">
        <v>116123</v>
      </c>
      <c r="K256" s="4" t="n">
        <v>63877</v>
      </c>
    </row>
    <row r="257">
      <c r="A257" t="inlineStr">
        <is>
          <t>ORD-1256</t>
        </is>
      </c>
      <c r="B257" s="2" t="n">
        <v>45701</v>
      </c>
      <c r="C257" t="inlineStr">
        <is>
          <t>West</t>
        </is>
      </c>
      <c r="D257" t="inlineStr">
        <is>
          <t>Vikram Mehta</t>
        </is>
      </c>
      <c r="E257" t="inlineStr">
        <is>
          <t>Laptop</t>
        </is>
      </c>
      <c r="F257" t="inlineStr">
        <is>
          <t>Electronics</t>
        </is>
      </c>
      <c r="G257" s="3" t="n">
        <v>6</v>
      </c>
      <c r="H257" s="4" t="n">
        <v>55000</v>
      </c>
      <c r="I257" s="4" t="n">
        <v>330000</v>
      </c>
      <c r="J257" s="4" t="n">
        <v>246337</v>
      </c>
      <c r="K257" s="4" t="n">
        <v>83663</v>
      </c>
    </row>
    <row r="258">
      <c r="A258" t="inlineStr">
        <is>
          <t>ORD-1257</t>
        </is>
      </c>
      <c r="B258" s="2" t="n">
        <v>45882</v>
      </c>
      <c r="C258" t="inlineStr">
        <is>
          <t>North</t>
        </is>
      </c>
      <c r="D258" t="inlineStr">
        <is>
          <t>Amit Sharma</t>
        </is>
      </c>
      <c r="E258" t="inlineStr">
        <is>
          <t>Smartphone</t>
        </is>
      </c>
      <c r="F258" t="inlineStr">
        <is>
          <t>Electronics</t>
        </is>
      </c>
      <c r="G258" s="3" t="n">
        <v>12</v>
      </c>
      <c r="H258" s="4" t="n">
        <v>22000</v>
      </c>
      <c r="I258" s="4" t="n">
        <v>264000</v>
      </c>
      <c r="J258" s="4" t="n">
        <v>168314</v>
      </c>
      <c r="K258" s="4" t="n">
        <v>95686</v>
      </c>
    </row>
    <row r="259">
      <c r="A259" t="inlineStr">
        <is>
          <t>ORD-1258</t>
        </is>
      </c>
      <c r="B259" s="2" t="n">
        <v>45831</v>
      </c>
      <c r="C259" t="inlineStr">
        <is>
          <t>East</t>
        </is>
      </c>
      <c r="D259" t="inlineStr">
        <is>
          <t>Sourav Das</t>
        </is>
      </c>
      <c r="E259" t="inlineStr">
        <is>
          <t>Tablet</t>
        </is>
      </c>
      <c r="F259" t="inlineStr">
        <is>
          <t>Electronics</t>
        </is>
      </c>
      <c r="G259" s="3" t="n">
        <v>5</v>
      </c>
      <c r="H259" s="4" t="n">
        <v>18000</v>
      </c>
      <c r="I259" s="4" t="n">
        <v>90000</v>
      </c>
      <c r="J259" s="4" t="n">
        <v>56473</v>
      </c>
      <c r="K259" s="4" t="n">
        <v>33527</v>
      </c>
    </row>
    <row r="260">
      <c r="A260" t="inlineStr">
        <is>
          <t>ORD-1259</t>
        </is>
      </c>
      <c r="B260" s="2" t="n">
        <v>46005</v>
      </c>
      <c r="C260" t="inlineStr">
        <is>
          <t>East</t>
        </is>
      </c>
      <c r="D260" t="inlineStr">
        <is>
          <t>Anita Roy</t>
        </is>
      </c>
      <c r="E260" t="inlineStr">
        <is>
          <t>Laptop</t>
        </is>
      </c>
      <c r="F260" t="inlineStr">
        <is>
          <t>Electronics</t>
        </is>
      </c>
      <c r="G260" s="3" t="n">
        <v>6</v>
      </c>
      <c r="H260" s="4" t="n">
        <v>55000</v>
      </c>
      <c r="I260" s="4" t="n">
        <v>330000</v>
      </c>
      <c r="J260" s="4" t="n">
        <v>187737</v>
      </c>
      <c r="K260" s="4" t="n">
        <v>142263</v>
      </c>
    </row>
    <row r="261">
      <c r="A261" t="inlineStr">
        <is>
          <t>ORD-1260</t>
        </is>
      </c>
      <c r="B261" s="2" t="n">
        <v>45966</v>
      </c>
      <c r="C261" t="inlineStr">
        <is>
          <t>East</t>
        </is>
      </c>
      <c r="D261" t="inlineStr">
        <is>
          <t>Sourav Das</t>
        </is>
      </c>
      <c r="E261" t="inlineStr">
        <is>
          <t>Tablet</t>
        </is>
      </c>
      <c r="F261" t="inlineStr">
        <is>
          <t>Electronics</t>
        </is>
      </c>
      <c r="G261" s="3" t="n">
        <v>12</v>
      </c>
      <c r="H261" s="4" t="n">
        <v>18000</v>
      </c>
      <c r="I261" s="4" t="n">
        <v>216000</v>
      </c>
      <c r="J261" s="4" t="n">
        <v>155588</v>
      </c>
      <c r="K261" s="4" t="n">
        <v>60412</v>
      </c>
    </row>
    <row r="262">
      <c r="A262" t="inlineStr">
        <is>
          <t>ORD-1261</t>
        </is>
      </c>
      <c r="B262" s="2" t="n">
        <v>45837</v>
      </c>
      <c r="C262" t="inlineStr">
        <is>
          <t>East</t>
        </is>
      </c>
      <c r="D262" t="inlineStr">
        <is>
          <t>Anita Roy</t>
        </is>
      </c>
      <c r="E262" t="inlineStr">
        <is>
          <t>Laptop</t>
        </is>
      </c>
      <c r="F262" t="inlineStr">
        <is>
          <t>Electronics</t>
        </is>
      </c>
      <c r="G262" s="3" t="n">
        <v>10</v>
      </c>
      <c r="H262" s="4" t="n">
        <v>55000</v>
      </c>
      <c r="I262" s="4" t="n">
        <v>550000</v>
      </c>
      <c r="J262" s="4" t="n">
        <v>375497</v>
      </c>
      <c r="K262" s="4" t="n">
        <v>174503</v>
      </c>
    </row>
    <row r="263">
      <c r="A263" t="inlineStr">
        <is>
          <t>ORD-1262</t>
        </is>
      </c>
      <c r="B263" s="2" t="n">
        <v>45701</v>
      </c>
      <c r="C263" t="inlineStr">
        <is>
          <t>West</t>
        </is>
      </c>
      <c r="D263" t="inlineStr">
        <is>
          <t>Kavita Patil</t>
        </is>
      </c>
      <c r="E263" t="inlineStr">
        <is>
          <t>Smartphone</t>
        </is>
      </c>
      <c r="F263" t="inlineStr">
        <is>
          <t>Electronics</t>
        </is>
      </c>
      <c r="G263" s="3" t="n">
        <v>10</v>
      </c>
      <c r="H263" s="4" t="n">
        <v>22000</v>
      </c>
      <c r="I263" s="4" t="n">
        <v>220000</v>
      </c>
      <c r="J263" s="4" t="n">
        <v>152189</v>
      </c>
      <c r="K263" s="4" t="n">
        <v>67811</v>
      </c>
    </row>
    <row r="264">
      <c r="A264" t="inlineStr">
        <is>
          <t>ORD-1263</t>
        </is>
      </c>
      <c r="B264" s="2" t="n">
        <v>46001</v>
      </c>
      <c r="C264" t="inlineStr">
        <is>
          <t>West</t>
        </is>
      </c>
      <c r="D264" t="inlineStr">
        <is>
          <t>Vikram Mehta</t>
        </is>
      </c>
      <c r="E264" t="inlineStr">
        <is>
          <t>Keyboard</t>
        </is>
      </c>
      <c r="F264" t="inlineStr">
        <is>
          <t>Accessories</t>
        </is>
      </c>
      <c r="G264" s="3" t="n">
        <v>6</v>
      </c>
      <c r="H264" s="4" t="n">
        <v>2500</v>
      </c>
      <c r="I264" s="4" t="n">
        <v>15000</v>
      </c>
      <c r="J264" s="4" t="n">
        <v>10690</v>
      </c>
      <c r="K264" s="4" t="n">
        <v>4310</v>
      </c>
    </row>
    <row r="265">
      <c r="A265" t="inlineStr">
        <is>
          <t>ORD-1264</t>
        </is>
      </c>
      <c r="B265" s="2" t="n">
        <v>45816</v>
      </c>
      <c r="C265" t="inlineStr">
        <is>
          <t>West</t>
        </is>
      </c>
      <c r="D265" t="inlineStr">
        <is>
          <t>Vikram Mehta</t>
        </is>
      </c>
      <c r="E265" t="inlineStr">
        <is>
          <t>Headphones</t>
        </is>
      </c>
      <c r="F265" t="inlineStr">
        <is>
          <t>Accessories</t>
        </is>
      </c>
      <c r="G265" s="3" t="n">
        <v>6</v>
      </c>
      <c r="H265" s="4" t="n">
        <v>3500</v>
      </c>
      <c r="I265" s="4" t="n">
        <v>21000</v>
      </c>
      <c r="J265" s="4" t="n">
        <v>11627</v>
      </c>
      <c r="K265" s="4" t="n">
        <v>9373</v>
      </c>
    </row>
    <row r="266">
      <c r="A266" t="inlineStr">
        <is>
          <t>ORD-1265</t>
        </is>
      </c>
      <c r="B266" s="2" t="n">
        <v>45728</v>
      </c>
      <c r="C266" t="inlineStr">
        <is>
          <t>South</t>
        </is>
      </c>
      <c r="D266" t="inlineStr">
        <is>
          <t>Ravi Nair</t>
        </is>
      </c>
      <c r="E266" t="inlineStr">
        <is>
          <t>Tablet</t>
        </is>
      </c>
      <c r="F266" t="inlineStr">
        <is>
          <t>Electronics</t>
        </is>
      </c>
      <c r="G266" s="3" t="n">
        <v>8</v>
      </c>
      <c r="H266" s="4" t="n">
        <v>18000</v>
      </c>
      <c r="I266" s="4" t="n">
        <v>144000</v>
      </c>
      <c r="J266" s="4" t="n">
        <v>84730</v>
      </c>
      <c r="K266" s="4" t="n">
        <v>59270</v>
      </c>
    </row>
    <row r="267">
      <c r="A267" t="inlineStr">
        <is>
          <t>ORD-1266</t>
        </is>
      </c>
      <c r="B267" s="2" t="n">
        <v>45934</v>
      </c>
      <c r="C267" t="inlineStr">
        <is>
          <t>North</t>
        </is>
      </c>
      <c r="D267" t="inlineStr">
        <is>
          <t>Amit Sharma</t>
        </is>
      </c>
      <c r="E267" t="inlineStr">
        <is>
          <t>Tablet</t>
        </is>
      </c>
      <c r="F267" t="inlineStr">
        <is>
          <t>Electronics</t>
        </is>
      </c>
      <c r="G267" s="3" t="n">
        <v>2</v>
      </c>
      <c r="H267" s="4" t="n">
        <v>18000</v>
      </c>
      <c r="I267" s="4" t="n">
        <v>36000</v>
      </c>
      <c r="J267" s="4" t="n">
        <v>23455</v>
      </c>
      <c r="K267" s="4" t="n">
        <v>12545</v>
      </c>
    </row>
    <row r="268">
      <c r="A268" t="inlineStr">
        <is>
          <t>ORD-1267</t>
        </is>
      </c>
      <c r="B268" s="2" t="n">
        <v>45736</v>
      </c>
      <c r="C268" t="inlineStr">
        <is>
          <t>East</t>
        </is>
      </c>
      <c r="D268" t="inlineStr">
        <is>
          <t>Sourav Das</t>
        </is>
      </c>
      <c r="E268" t="inlineStr">
        <is>
          <t>Headphones</t>
        </is>
      </c>
      <c r="F268" t="inlineStr">
        <is>
          <t>Accessories</t>
        </is>
      </c>
      <c r="G268" s="3" t="n">
        <v>3</v>
      </c>
      <c r="H268" s="4" t="n">
        <v>3500</v>
      </c>
      <c r="I268" s="4" t="n">
        <v>10500</v>
      </c>
      <c r="J268" s="4" t="n">
        <v>7029</v>
      </c>
      <c r="K268" s="4" t="n">
        <v>3471</v>
      </c>
    </row>
    <row r="269">
      <c r="A269" t="inlineStr">
        <is>
          <t>ORD-1268</t>
        </is>
      </c>
      <c r="B269" s="2" t="n">
        <v>45742</v>
      </c>
      <c r="C269" t="inlineStr">
        <is>
          <t>South</t>
        </is>
      </c>
      <c r="D269" t="inlineStr">
        <is>
          <t>Divya Menon</t>
        </is>
      </c>
      <c r="E269" t="inlineStr">
        <is>
          <t>Keyboard</t>
        </is>
      </c>
      <c r="F269" t="inlineStr">
        <is>
          <t>Accessories</t>
        </is>
      </c>
      <c r="G269" s="3" t="n">
        <v>10</v>
      </c>
      <c r="H269" s="4" t="n">
        <v>2500</v>
      </c>
      <c r="I269" s="4" t="n">
        <v>25000</v>
      </c>
      <c r="J269" s="4" t="n">
        <v>17795</v>
      </c>
      <c r="K269" s="4" t="n">
        <v>7205</v>
      </c>
    </row>
    <row r="270">
      <c r="A270" t="inlineStr">
        <is>
          <t>ORD-1269</t>
        </is>
      </c>
      <c r="B270" s="2" t="n">
        <v>45779</v>
      </c>
      <c r="C270" t="inlineStr">
        <is>
          <t>North</t>
        </is>
      </c>
      <c r="D270" t="inlineStr">
        <is>
          <t>Priya Verma</t>
        </is>
      </c>
      <c r="E270" t="inlineStr">
        <is>
          <t>Monitor</t>
        </is>
      </c>
      <c r="F270" t="inlineStr">
        <is>
          <t>Electronics</t>
        </is>
      </c>
      <c r="G270" s="3" t="n">
        <v>6</v>
      </c>
      <c r="H270" s="4" t="n">
        <v>14000</v>
      </c>
      <c r="I270" s="4" t="n">
        <v>84000</v>
      </c>
      <c r="J270" s="4" t="n">
        <v>57563</v>
      </c>
      <c r="K270" s="4" t="n">
        <v>26437</v>
      </c>
    </row>
    <row r="271">
      <c r="A271" t="inlineStr">
        <is>
          <t>ORD-1270</t>
        </is>
      </c>
      <c r="B271" s="2" t="n">
        <v>45780</v>
      </c>
      <c r="C271" t="inlineStr">
        <is>
          <t>East</t>
        </is>
      </c>
      <c r="D271" t="inlineStr">
        <is>
          <t>Anita Roy</t>
        </is>
      </c>
      <c r="E271" t="inlineStr">
        <is>
          <t>Keyboard</t>
        </is>
      </c>
      <c r="F271" t="inlineStr">
        <is>
          <t>Accessories</t>
        </is>
      </c>
      <c r="G271" s="3" t="n">
        <v>8</v>
      </c>
      <c r="H271" s="4" t="n">
        <v>2500</v>
      </c>
      <c r="I271" s="4" t="n">
        <v>20000</v>
      </c>
      <c r="J271" s="4" t="n">
        <v>11936</v>
      </c>
      <c r="K271" s="4" t="n">
        <v>8064</v>
      </c>
    </row>
    <row r="272">
      <c r="A272" t="inlineStr">
        <is>
          <t>ORD-1271</t>
        </is>
      </c>
      <c r="B272" s="2" t="n">
        <v>45950</v>
      </c>
      <c r="C272" t="inlineStr">
        <is>
          <t>West</t>
        </is>
      </c>
      <c r="D272" t="inlineStr">
        <is>
          <t>Kavita Patil</t>
        </is>
      </c>
      <c r="E272" t="inlineStr">
        <is>
          <t>Smartphone</t>
        </is>
      </c>
      <c r="F272" t="inlineStr">
        <is>
          <t>Electronics</t>
        </is>
      </c>
      <c r="G272" s="3" t="n">
        <v>6</v>
      </c>
      <c r="H272" s="4" t="n">
        <v>22000</v>
      </c>
      <c r="I272" s="4" t="n">
        <v>132000</v>
      </c>
      <c r="J272" s="4" t="n">
        <v>90507</v>
      </c>
      <c r="K272" s="4" t="n">
        <v>41493</v>
      </c>
    </row>
    <row r="273">
      <c r="A273" t="inlineStr">
        <is>
          <t>ORD-1272</t>
        </is>
      </c>
      <c r="B273" s="2" t="n">
        <v>45872</v>
      </c>
      <c r="C273" t="inlineStr">
        <is>
          <t>West</t>
        </is>
      </c>
      <c r="D273" t="inlineStr">
        <is>
          <t>Vikram Mehta</t>
        </is>
      </c>
      <c r="E273" t="inlineStr">
        <is>
          <t>Tablet</t>
        </is>
      </c>
      <c r="F273" t="inlineStr">
        <is>
          <t>Electronics</t>
        </is>
      </c>
      <c r="G273" s="3" t="n">
        <v>7</v>
      </c>
      <c r="H273" s="4" t="n">
        <v>18000</v>
      </c>
      <c r="I273" s="4" t="n">
        <v>126000</v>
      </c>
      <c r="J273" s="4" t="n">
        <v>81973</v>
      </c>
      <c r="K273" s="4" t="n">
        <v>44027</v>
      </c>
    </row>
    <row r="274">
      <c r="A274" t="inlineStr">
        <is>
          <t>ORD-1273</t>
        </is>
      </c>
      <c r="B274" s="2" t="n">
        <v>45684</v>
      </c>
      <c r="C274" t="inlineStr">
        <is>
          <t>South</t>
        </is>
      </c>
      <c r="D274" t="inlineStr">
        <is>
          <t>Divya Menon</t>
        </is>
      </c>
      <c r="E274" t="inlineStr">
        <is>
          <t>Headphones</t>
        </is>
      </c>
      <c r="F274" t="inlineStr">
        <is>
          <t>Accessories</t>
        </is>
      </c>
      <c r="G274" s="3" t="n">
        <v>3</v>
      </c>
      <c r="H274" s="4" t="n">
        <v>3500</v>
      </c>
      <c r="I274" s="4" t="n">
        <v>10500</v>
      </c>
      <c r="J274" s="4" t="n">
        <v>7608</v>
      </c>
      <c r="K274" s="4" t="n">
        <v>2892</v>
      </c>
    </row>
    <row r="275">
      <c r="A275" t="inlineStr">
        <is>
          <t>ORD-1274</t>
        </is>
      </c>
      <c r="B275" s="2" t="n">
        <v>45922</v>
      </c>
      <c r="C275" t="inlineStr">
        <is>
          <t>East</t>
        </is>
      </c>
      <c r="D275" t="inlineStr">
        <is>
          <t>Sourav Das</t>
        </is>
      </c>
      <c r="E275" t="inlineStr">
        <is>
          <t>Headphones</t>
        </is>
      </c>
      <c r="F275" t="inlineStr">
        <is>
          <t>Accessories</t>
        </is>
      </c>
      <c r="G275" s="3" t="n">
        <v>2</v>
      </c>
      <c r="H275" s="4" t="n">
        <v>3500</v>
      </c>
      <c r="I275" s="4" t="n">
        <v>7000</v>
      </c>
      <c r="J275" s="4" t="n">
        <v>4846</v>
      </c>
      <c r="K275" s="4" t="n">
        <v>2154</v>
      </c>
    </row>
    <row r="276">
      <c r="A276" t="inlineStr">
        <is>
          <t>ORD-1275</t>
        </is>
      </c>
      <c r="B276" s="2" t="n">
        <v>45920</v>
      </c>
      <c r="C276" t="inlineStr">
        <is>
          <t>East</t>
        </is>
      </c>
      <c r="D276" t="inlineStr">
        <is>
          <t>Sourav Das</t>
        </is>
      </c>
      <c r="E276" t="inlineStr">
        <is>
          <t>Laptop</t>
        </is>
      </c>
      <c r="F276" t="inlineStr">
        <is>
          <t>Electronics</t>
        </is>
      </c>
      <c r="G276" s="3" t="n">
        <v>3</v>
      </c>
      <c r="H276" s="4" t="n">
        <v>55000</v>
      </c>
      <c r="I276" s="4" t="n">
        <v>165000</v>
      </c>
      <c r="J276" s="4" t="n">
        <v>99752</v>
      </c>
      <c r="K276" s="4" t="n">
        <v>65248</v>
      </c>
    </row>
    <row r="277">
      <c r="A277" t="inlineStr">
        <is>
          <t>ORD-1276</t>
        </is>
      </c>
      <c r="B277" s="2" t="n">
        <v>45836</v>
      </c>
      <c r="C277" t="inlineStr">
        <is>
          <t>West</t>
        </is>
      </c>
      <c r="D277" t="inlineStr">
        <is>
          <t>Vikram Mehta</t>
        </is>
      </c>
      <c r="E277" t="inlineStr">
        <is>
          <t>Laptop</t>
        </is>
      </c>
      <c r="F277" t="inlineStr">
        <is>
          <t>Electronics</t>
        </is>
      </c>
      <c r="G277" s="3" t="n">
        <v>4</v>
      </c>
      <c r="H277" s="4" t="n">
        <v>55000</v>
      </c>
      <c r="I277" s="4" t="n">
        <v>220000</v>
      </c>
      <c r="J277" s="4" t="n">
        <v>156935</v>
      </c>
      <c r="K277" s="4" t="n">
        <v>63065</v>
      </c>
    </row>
    <row r="278">
      <c r="A278" t="inlineStr">
        <is>
          <t>ORD-1277</t>
        </is>
      </c>
      <c r="B278" s="2" t="n">
        <v>45778</v>
      </c>
      <c r="C278" t="inlineStr">
        <is>
          <t>West</t>
        </is>
      </c>
      <c r="D278" t="inlineStr">
        <is>
          <t>Kavita Patil</t>
        </is>
      </c>
      <c r="E278" t="inlineStr">
        <is>
          <t>Laptop</t>
        </is>
      </c>
      <c r="F278" t="inlineStr">
        <is>
          <t>Electronics</t>
        </is>
      </c>
      <c r="G278" s="3" t="n">
        <v>7</v>
      </c>
      <c r="H278" s="4" t="n">
        <v>55000</v>
      </c>
      <c r="I278" s="4" t="n">
        <v>385000</v>
      </c>
      <c r="J278" s="4" t="n">
        <v>250405</v>
      </c>
      <c r="K278" s="4" t="n">
        <v>134595</v>
      </c>
    </row>
    <row r="279">
      <c r="A279" t="inlineStr">
        <is>
          <t>ORD-1278</t>
        </is>
      </c>
      <c r="B279" s="2" t="n">
        <v>45708</v>
      </c>
      <c r="C279" t="inlineStr">
        <is>
          <t>North</t>
        </is>
      </c>
      <c r="D279" t="inlineStr">
        <is>
          <t>Priya Verma</t>
        </is>
      </c>
      <c r="E279" t="inlineStr">
        <is>
          <t>Tablet</t>
        </is>
      </c>
      <c r="F279" t="inlineStr">
        <is>
          <t>Electronics</t>
        </is>
      </c>
      <c r="G279" s="3" t="n">
        <v>4</v>
      </c>
      <c r="H279" s="4" t="n">
        <v>18000</v>
      </c>
      <c r="I279" s="4" t="n">
        <v>72000</v>
      </c>
      <c r="J279" s="4" t="n">
        <v>40006</v>
      </c>
      <c r="K279" s="4" t="n">
        <v>31994</v>
      </c>
    </row>
    <row r="280">
      <c r="A280" t="inlineStr">
        <is>
          <t>ORD-1279</t>
        </is>
      </c>
      <c r="B280" s="2" t="n">
        <v>45899</v>
      </c>
      <c r="C280" t="inlineStr">
        <is>
          <t>South</t>
        </is>
      </c>
      <c r="D280" t="inlineStr">
        <is>
          <t>Ravi Nair</t>
        </is>
      </c>
      <c r="E280" t="inlineStr">
        <is>
          <t>Smartphone</t>
        </is>
      </c>
      <c r="F280" t="inlineStr">
        <is>
          <t>Electronics</t>
        </is>
      </c>
      <c r="G280" s="3" t="n">
        <v>1</v>
      </c>
      <c r="H280" s="4" t="n">
        <v>22000</v>
      </c>
      <c r="I280" s="4" t="n">
        <v>22000</v>
      </c>
      <c r="J280" s="4" t="n">
        <v>13362</v>
      </c>
      <c r="K280" s="4" t="n">
        <v>8638</v>
      </c>
    </row>
    <row r="281">
      <c r="A281" t="inlineStr">
        <is>
          <t>ORD-1280</t>
        </is>
      </c>
      <c r="B281" s="2" t="n">
        <v>45698</v>
      </c>
      <c r="C281" t="inlineStr">
        <is>
          <t>West</t>
        </is>
      </c>
      <c r="D281" t="inlineStr">
        <is>
          <t>Vikram Mehta</t>
        </is>
      </c>
      <c r="E281" t="inlineStr">
        <is>
          <t>Monitor</t>
        </is>
      </c>
      <c r="F281" t="inlineStr">
        <is>
          <t>Electronics</t>
        </is>
      </c>
      <c r="G281" s="3" t="n">
        <v>10</v>
      </c>
      <c r="H281" s="4" t="n">
        <v>14000</v>
      </c>
      <c r="I281" s="4" t="n">
        <v>140000</v>
      </c>
      <c r="J281" s="4" t="n">
        <v>77147</v>
      </c>
      <c r="K281" s="4" t="n">
        <v>62853</v>
      </c>
    </row>
    <row r="282">
      <c r="A282" t="inlineStr">
        <is>
          <t>ORD-1281</t>
        </is>
      </c>
      <c r="B282" s="2" t="n">
        <v>45969</v>
      </c>
      <c r="C282" t="inlineStr">
        <is>
          <t>East</t>
        </is>
      </c>
      <c r="D282" t="inlineStr">
        <is>
          <t>Anita Roy</t>
        </is>
      </c>
      <c r="E282" t="inlineStr">
        <is>
          <t>Smartphone</t>
        </is>
      </c>
      <c r="F282" t="inlineStr">
        <is>
          <t>Electronics</t>
        </is>
      </c>
      <c r="G282" s="3" t="n">
        <v>3</v>
      </c>
      <c r="H282" s="4" t="n">
        <v>22000</v>
      </c>
      <c r="I282" s="4" t="n">
        <v>66000</v>
      </c>
      <c r="J282" s="4" t="n">
        <v>43544</v>
      </c>
      <c r="K282" s="4" t="n">
        <v>22456</v>
      </c>
    </row>
    <row r="283">
      <c r="A283" t="inlineStr">
        <is>
          <t>ORD-1282</t>
        </is>
      </c>
      <c r="B283" s="2" t="n">
        <v>45682</v>
      </c>
      <c r="C283" t="inlineStr">
        <is>
          <t>North</t>
        </is>
      </c>
      <c r="D283" t="inlineStr">
        <is>
          <t>Amit Sharma</t>
        </is>
      </c>
      <c r="E283" t="inlineStr">
        <is>
          <t>Tablet</t>
        </is>
      </c>
      <c r="F283" t="inlineStr">
        <is>
          <t>Electronics</t>
        </is>
      </c>
      <c r="G283" s="3" t="n">
        <v>4</v>
      </c>
      <c r="H283" s="4" t="n">
        <v>18000</v>
      </c>
      <c r="I283" s="4" t="n">
        <v>72000</v>
      </c>
      <c r="J283" s="4" t="n">
        <v>43937</v>
      </c>
      <c r="K283" s="4" t="n">
        <v>28063</v>
      </c>
    </row>
    <row r="284">
      <c r="A284" t="inlineStr">
        <is>
          <t>ORD-1283</t>
        </is>
      </c>
      <c r="B284" s="2" t="n">
        <v>45714</v>
      </c>
      <c r="C284" t="inlineStr">
        <is>
          <t>West</t>
        </is>
      </c>
      <c r="D284" t="inlineStr">
        <is>
          <t>Kavita Patil</t>
        </is>
      </c>
      <c r="E284" t="inlineStr">
        <is>
          <t>Keyboard</t>
        </is>
      </c>
      <c r="F284" t="inlineStr">
        <is>
          <t>Accessories</t>
        </is>
      </c>
      <c r="G284" s="3" t="n">
        <v>10</v>
      </c>
      <c r="H284" s="4" t="n">
        <v>2500</v>
      </c>
      <c r="I284" s="4" t="n">
        <v>25000</v>
      </c>
      <c r="J284" s="4" t="n">
        <v>16036</v>
      </c>
      <c r="K284" s="4" t="n">
        <v>8964</v>
      </c>
    </row>
    <row r="285">
      <c r="A285" t="inlineStr">
        <is>
          <t>ORD-1284</t>
        </is>
      </c>
      <c r="B285" s="2" t="n">
        <v>45731</v>
      </c>
      <c r="C285" t="inlineStr">
        <is>
          <t>North</t>
        </is>
      </c>
      <c r="D285" t="inlineStr">
        <is>
          <t>Priya Verma</t>
        </is>
      </c>
      <c r="E285" t="inlineStr">
        <is>
          <t>Keyboard</t>
        </is>
      </c>
      <c r="F285" t="inlineStr">
        <is>
          <t>Accessories</t>
        </is>
      </c>
      <c r="G285" s="3" t="n">
        <v>9</v>
      </c>
      <c r="H285" s="4" t="n">
        <v>2500</v>
      </c>
      <c r="I285" s="4" t="n">
        <v>22500</v>
      </c>
      <c r="J285" s="4" t="n">
        <v>14963</v>
      </c>
      <c r="K285" s="4" t="n">
        <v>7537</v>
      </c>
    </row>
    <row r="286">
      <c r="A286" t="inlineStr">
        <is>
          <t>ORD-1285</t>
        </is>
      </c>
      <c r="B286" s="2" t="n">
        <v>45950</v>
      </c>
      <c r="C286" t="inlineStr">
        <is>
          <t>West</t>
        </is>
      </c>
      <c r="D286" t="inlineStr">
        <is>
          <t>Kavita Patil</t>
        </is>
      </c>
      <c r="E286" t="inlineStr">
        <is>
          <t>Laptop</t>
        </is>
      </c>
      <c r="F286" t="inlineStr">
        <is>
          <t>Electronics</t>
        </is>
      </c>
      <c r="G286" s="3" t="n">
        <v>10</v>
      </c>
      <c r="H286" s="4" t="n">
        <v>55000</v>
      </c>
      <c r="I286" s="4" t="n">
        <v>550000</v>
      </c>
      <c r="J286" s="4" t="n">
        <v>341310</v>
      </c>
      <c r="K286" s="4" t="n">
        <v>208690</v>
      </c>
    </row>
    <row r="287">
      <c r="A287" t="inlineStr">
        <is>
          <t>ORD-1286</t>
        </is>
      </c>
      <c r="B287" s="2" t="n">
        <v>45842</v>
      </c>
      <c r="C287" t="inlineStr">
        <is>
          <t>South</t>
        </is>
      </c>
      <c r="D287" t="inlineStr">
        <is>
          <t>Ravi Nair</t>
        </is>
      </c>
      <c r="E287" t="inlineStr">
        <is>
          <t>Keyboard</t>
        </is>
      </c>
      <c r="F287" t="inlineStr">
        <is>
          <t>Accessories</t>
        </is>
      </c>
      <c r="G287" s="3" t="n">
        <v>11</v>
      </c>
      <c r="H287" s="4" t="n">
        <v>2500</v>
      </c>
      <c r="I287" s="4" t="n">
        <v>27500</v>
      </c>
      <c r="J287" s="4" t="n">
        <v>15596</v>
      </c>
      <c r="K287" s="4" t="n">
        <v>11904</v>
      </c>
    </row>
    <row r="288">
      <c r="A288" t="inlineStr">
        <is>
          <t>ORD-1287</t>
        </is>
      </c>
      <c r="B288" s="2" t="n">
        <v>45856</v>
      </c>
      <c r="C288" t="inlineStr">
        <is>
          <t>North</t>
        </is>
      </c>
      <c r="D288" t="inlineStr">
        <is>
          <t>Priya Verma</t>
        </is>
      </c>
      <c r="E288" t="inlineStr">
        <is>
          <t>Monitor</t>
        </is>
      </c>
      <c r="F288" t="inlineStr">
        <is>
          <t>Electronics</t>
        </is>
      </c>
      <c r="G288" s="3" t="n">
        <v>8</v>
      </c>
      <c r="H288" s="4" t="n">
        <v>14000</v>
      </c>
      <c r="I288" s="4" t="n">
        <v>112000</v>
      </c>
      <c r="J288" s="4" t="n">
        <v>62575</v>
      </c>
      <c r="K288" s="4" t="n">
        <v>49425</v>
      </c>
    </row>
    <row r="289">
      <c r="A289" t="inlineStr">
        <is>
          <t>ORD-1288</t>
        </is>
      </c>
      <c r="B289" s="2" t="n">
        <v>45692</v>
      </c>
      <c r="C289" t="inlineStr">
        <is>
          <t>East</t>
        </is>
      </c>
      <c r="D289" t="inlineStr">
        <is>
          <t>Anita Roy</t>
        </is>
      </c>
      <c r="E289" t="inlineStr">
        <is>
          <t>Keyboard</t>
        </is>
      </c>
      <c r="F289" t="inlineStr">
        <is>
          <t>Accessories</t>
        </is>
      </c>
      <c r="G289" s="3" t="n">
        <v>1</v>
      </c>
      <c r="H289" s="4" t="n">
        <v>2500</v>
      </c>
      <c r="I289" s="4" t="n">
        <v>2500</v>
      </c>
      <c r="J289" s="4" t="n">
        <v>1554</v>
      </c>
      <c r="K289" s="4" t="n">
        <v>946</v>
      </c>
    </row>
    <row r="290">
      <c r="A290" t="inlineStr">
        <is>
          <t>ORD-1289</t>
        </is>
      </c>
      <c r="B290" s="2" t="n">
        <v>45955</v>
      </c>
      <c r="C290" t="inlineStr">
        <is>
          <t>South</t>
        </is>
      </c>
      <c r="D290" t="inlineStr">
        <is>
          <t>Divya Menon</t>
        </is>
      </c>
      <c r="E290" t="inlineStr">
        <is>
          <t>Keyboard</t>
        </is>
      </c>
      <c r="F290" t="inlineStr">
        <is>
          <t>Accessories</t>
        </is>
      </c>
      <c r="G290" s="3" t="n">
        <v>11</v>
      </c>
      <c r="H290" s="4" t="n">
        <v>2500</v>
      </c>
      <c r="I290" s="4" t="n">
        <v>27500</v>
      </c>
      <c r="J290" s="4" t="n">
        <v>18580</v>
      </c>
      <c r="K290" s="4" t="n">
        <v>8920</v>
      </c>
    </row>
    <row r="291">
      <c r="A291" t="inlineStr">
        <is>
          <t>ORD-1290</t>
        </is>
      </c>
      <c r="B291" s="2" t="n">
        <v>45987</v>
      </c>
      <c r="C291" t="inlineStr">
        <is>
          <t>South</t>
        </is>
      </c>
      <c r="D291" t="inlineStr">
        <is>
          <t>Ravi Nair</t>
        </is>
      </c>
      <c r="E291" t="inlineStr">
        <is>
          <t>Laptop</t>
        </is>
      </c>
      <c r="F291" t="inlineStr">
        <is>
          <t>Electronics</t>
        </is>
      </c>
      <c r="G291" s="3" t="n">
        <v>6</v>
      </c>
      <c r="H291" s="4" t="n">
        <v>55000</v>
      </c>
      <c r="I291" s="4" t="n">
        <v>330000</v>
      </c>
      <c r="J291" s="4" t="n">
        <v>217537</v>
      </c>
      <c r="K291" s="4" t="n">
        <v>112463</v>
      </c>
    </row>
    <row r="292">
      <c r="A292" t="inlineStr">
        <is>
          <t>ORD-1291</t>
        </is>
      </c>
      <c r="B292" s="2" t="n">
        <v>45727</v>
      </c>
      <c r="C292" t="inlineStr">
        <is>
          <t>West</t>
        </is>
      </c>
      <c r="D292" t="inlineStr">
        <is>
          <t>Vikram Mehta</t>
        </is>
      </c>
      <c r="E292" t="inlineStr">
        <is>
          <t>Keyboard</t>
        </is>
      </c>
      <c r="F292" t="inlineStr">
        <is>
          <t>Accessories</t>
        </is>
      </c>
      <c r="G292" s="3" t="n">
        <v>8</v>
      </c>
      <c r="H292" s="4" t="n">
        <v>2500</v>
      </c>
      <c r="I292" s="4" t="n">
        <v>20000</v>
      </c>
      <c r="J292" s="4" t="n">
        <v>13527</v>
      </c>
      <c r="K292" s="4" t="n">
        <v>6473</v>
      </c>
    </row>
    <row r="293">
      <c r="A293" t="inlineStr">
        <is>
          <t>ORD-1292</t>
        </is>
      </c>
      <c r="B293" s="2" t="n">
        <v>45760</v>
      </c>
      <c r="C293" t="inlineStr">
        <is>
          <t>West</t>
        </is>
      </c>
      <c r="D293" t="inlineStr">
        <is>
          <t>Vikram Mehta</t>
        </is>
      </c>
      <c r="E293" t="inlineStr">
        <is>
          <t>Laptop</t>
        </is>
      </c>
      <c r="F293" t="inlineStr">
        <is>
          <t>Electronics</t>
        </is>
      </c>
      <c r="G293" s="3" t="n">
        <v>5</v>
      </c>
      <c r="H293" s="4" t="n">
        <v>55000</v>
      </c>
      <c r="I293" s="4" t="n">
        <v>275000</v>
      </c>
      <c r="J293" s="4" t="n">
        <v>162338</v>
      </c>
      <c r="K293" s="4" t="n">
        <v>112662</v>
      </c>
    </row>
    <row r="294">
      <c r="A294" t="inlineStr">
        <is>
          <t>ORD-1293</t>
        </is>
      </c>
      <c r="B294" s="2" t="n">
        <v>45936</v>
      </c>
      <c r="C294" t="inlineStr">
        <is>
          <t>East</t>
        </is>
      </c>
      <c r="D294" t="inlineStr">
        <is>
          <t>Anita Roy</t>
        </is>
      </c>
      <c r="E294" t="inlineStr">
        <is>
          <t>Tablet</t>
        </is>
      </c>
      <c r="F294" t="inlineStr">
        <is>
          <t>Electronics</t>
        </is>
      </c>
      <c r="G294" s="3" t="n">
        <v>9</v>
      </c>
      <c r="H294" s="4" t="n">
        <v>18000</v>
      </c>
      <c r="I294" s="4" t="n">
        <v>162000</v>
      </c>
      <c r="J294" s="4" t="n">
        <v>102002</v>
      </c>
      <c r="K294" s="4" t="n">
        <v>59998</v>
      </c>
    </row>
    <row r="295">
      <c r="A295" t="inlineStr">
        <is>
          <t>ORD-1294</t>
        </is>
      </c>
      <c r="B295" s="2" t="n">
        <v>45840</v>
      </c>
      <c r="C295" t="inlineStr">
        <is>
          <t>East</t>
        </is>
      </c>
      <c r="D295" t="inlineStr">
        <is>
          <t>Sourav Das</t>
        </is>
      </c>
      <c r="E295" t="inlineStr">
        <is>
          <t>Laptop</t>
        </is>
      </c>
      <c r="F295" t="inlineStr">
        <is>
          <t>Electronics</t>
        </is>
      </c>
      <c r="G295" s="3" t="n">
        <v>11</v>
      </c>
      <c r="H295" s="4" t="n">
        <v>55000</v>
      </c>
      <c r="I295" s="4" t="n">
        <v>605000</v>
      </c>
      <c r="J295" s="4" t="n">
        <v>355874</v>
      </c>
      <c r="K295" s="4" t="n">
        <v>249126</v>
      </c>
    </row>
    <row r="296">
      <c r="A296" t="inlineStr">
        <is>
          <t>ORD-1295</t>
        </is>
      </c>
      <c r="B296" s="2" t="n">
        <v>45881</v>
      </c>
      <c r="C296" t="inlineStr">
        <is>
          <t>East</t>
        </is>
      </c>
      <c r="D296" t="inlineStr">
        <is>
          <t>Anita Roy</t>
        </is>
      </c>
      <c r="E296" t="inlineStr">
        <is>
          <t>Tablet</t>
        </is>
      </c>
      <c r="F296" t="inlineStr">
        <is>
          <t>Electronics</t>
        </is>
      </c>
      <c r="G296" s="3" t="n">
        <v>2</v>
      </c>
      <c r="H296" s="4" t="n">
        <v>18000</v>
      </c>
      <c r="I296" s="4" t="n">
        <v>36000</v>
      </c>
      <c r="J296" s="4" t="n">
        <v>25555</v>
      </c>
      <c r="K296" s="4" t="n">
        <v>10445</v>
      </c>
    </row>
    <row r="297">
      <c r="A297" t="inlineStr">
        <is>
          <t>ORD-1296</t>
        </is>
      </c>
      <c r="B297" s="2" t="n">
        <v>45912</v>
      </c>
      <c r="C297" t="inlineStr">
        <is>
          <t>West</t>
        </is>
      </c>
      <c r="D297" t="inlineStr">
        <is>
          <t>Kavita Patil</t>
        </is>
      </c>
      <c r="E297" t="inlineStr">
        <is>
          <t>Monitor</t>
        </is>
      </c>
      <c r="F297" t="inlineStr">
        <is>
          <t>Electronics</t>
        </is>
      </c>
      <c r="G297" s="3" t="n">
        <v>6</v>
      </c>
      <c r="H297" s="4" t="n">
        <v>14000</v>
      </c>
      <c r="I297" s="4" t="n">
        <v>84000</v>
      </c>
      <c r="J297" s="4" t="n">
        <v>62559</v>
      </c>
      <c r="K297" s="4" t="n">
        <v>21441</v>
      </c>
    </row>
    <row r="298">
      <c r="A298" t="inlineStr">
        <is>
          <t>ORD-1297</t>
        </is>
      </c>
      <c r="B298" s="2" t="n">
        <v>45875</v>
      </c>
      <c r="C298" t="inlineStr">
        <is>
          <t>East</t>
        </is>
      </c>
      <c r="D298" t="inlineStr">
        <is>
          <t>Sourav Das</t>
        </is>
      </c>
      <c r="E298" t="inlineStr">
        <is>
          <t>Headphones</t>
        </is>
      </c>
      <c r="F298" t="inlineStr">
        <is>
          <t>Accessories</t>
        </is>
      </c>
      <c r="G298" s="3" t="n">
        <v>5</v>
      </c>
      <c r="H298" s="4" t="n">
        <v>3500</v>
      </c>
      <c r="I298" s="4" t="n">
        <v>17500</v>
      </c>
      <c r="J298" s="4" t="n">
        <v>12429</v>
      </c>
      <c r="K298" s="4" t="n">
        <v>5071</v>
      </c>
    </row>
    <row r="299">
      <c r="A299" t="inlineStr">
        <is>
          <t>ORD-1298</t>
        </is>
      </c>
      <c r="B299" s="2" t="n">
        <v>45822</v>
      </c>
      <c r="C299" t="inlineStr">
        <is>
          <t>West</t>
        </is>
      </c>
      <c r="D299" t="inlineStr">
        <is>
          <t>Vikram Mehta</t>
        </is>
      </c>
      <c r="E299" t="inlineStr">
        <is>
          <t>Headphones</t>
        </is>
      </c>
      <c r="F299" t="inlineStr">
        <is>
          <t>Accessories</t>
        </is>
      </c>
      <c r="G299" s="3" t="n">
        <v>3</v>
      </c>
      <c r="H299" s="4" t="n">
        <v>3500</v>
      </c>
      <c r="I299" s="4" t="n">
        <v>10500</v>
      </c>
      <c r="J299" s="4" t="n">
        <v>6920</v>
      </c>
      <c r="K299" s="4" t="n">
        <v>3580</v>
      </c>
    </row>
    <row r="300">
      <c r="A300" t="inlineStr">
        <is>
          <t>ORD-1299</t>
        </is>
      </c>
      <c r="B300" s="2" t="n">
        <v>45886</v>
      </c>
      <c r="C300" t="inlineStr">
        <is>
          <t>North</t>
        </is>
      </c>
      <c r="D300" t="inlineStr">
        <is>
          <t>Priya Verma</t>
        </is>
      </c>
      <c r="E300" t="inlineStr">
        <is>
          <t>Tablet</t>
        </is>
      </c>
      <c r="F300" t="inlineStr">
        <is>
          <t>Electronics</t>
        </is>
      </c>
      <c r="G300" s="3" t="n">
        <v>11</v>
      </c>
      <c r="H300" s="4" t="n">
        <v>18000</v>
      </c>
      <c r="I300" s="4" t="n">
        <v>198000</v>
      </c>
      <c r="J300" s="4" t="n">
        <v>120607</v>
      </c>
      <c r="K300" s="4" t="n">
        <v>77393</v>
      </c>
    </row>
    <row r="301">
      <c r="A301" t="inlineStr">
        <is>
          <t>ORD-1300</t>
        </is>
      </c>
      <c r="B301" s="2" t="n">
        <v>45679</v>
      </c>
      <c r="C301" t="inlineStr">
        <is>
          <t>South</t>
        </is>
      </c>
      <c r="D301" t="inlineStr">
        <is>
          <t>Divya Menon</t>
        </is>
      </c>
      <c r="E301" t="inlineStr">
        <is>
          <t>Keyboard</t>
        </is>
      </c>
      <c r="F301" t="inlineStr">
        <is>
          <t>Accessories</t>
        </is>
      </c>
      <c r="G301" s="3" t="n">
        <v>8</v>
      </c>
      <c r="H301" s="4" t="n">
        <v>2500</v>
      </c>
      <c r="I301" s="4" t="n">
        <v>20000</v>
      </c>
      <c r="J301" s="4" t="n">
        <v>12406</v>
      </c>
      <c r="K301" s="4" t="n">
        <v>7594</v>
      </c>
    </row>
    <row r="302">
      <c r="A302" t="inlineStr">
        <is>
          <t>ORD-1301</t>
        </is>
      </c>
      <c r="B302" s="2" t="n">
        <v>45687</v>
      </c>
      <c r="C302" t="inlineStr">
        <is>
          <t>West</t>
        </is>
      </c>
      <c r="D302" t="inlineStr">
        <is>
          <t>Vikram Mehta</t>
        </is>
      </c>
      <c r="E302" t="inlineStr">
        <is>
          <t>Tablet</t>
        </is>
      </c>
      <c r="F302" t="inlineStr">
        <is>
          <t>Electronics</t>
        </is>
      </c>
      <c r="G302" s="3" t="n">
        <v>11</v>
      </c>
      <c r="H302" s="4" t="n">
        <v>18000</v>
      </c>
      <c r="I302" s="4" t="n">
        <v>198000</v>
      </c>
      <c r="J302" s="4" t="n">
        <v>147709</v>
      </c>
      <c r="K302" s="4" t="n">
        <v>50291</v>
      </c>
    </row>
    <row r="303">
      <c r="A303" t="inlineStr">
        <is>
          <t>ORD-1302</t>
        </is>
      </c>
      <c r="B303" s="2" t="n">
        <v>46005</v>
      </c>
      <c r="C303" t="inlineStr">
        <is>
          <t>West</t>
        </is>
      </c>
      <c r="D303" t="inlineStr">
        <is>
          <t>Vikram Mehta</t>
        </is>
      </c>
      <c r="E303" t="inlineStr">
        <is>
          <t>Tablet</t>
        </is>
      </c>
      <c r="F303" t="inlineStr">
        <is>
          <t>Electronics</t>
        </is>
      </c>
      <c r="G303" s="3" t="n">
        <v>9</v>
      </c>
      <c r="H303" s="4" t="n">
        <v>18000</v>
      </c>
      <c r="I303" s="4" t="n">
        <v>162000</v>
      </c>
      <c r="J303" s="4" t="n">
        <v>115056</v>
      </c>
      <c r="K303" s="4" t="n">
        <v>46944</v>
      </c>
    </row>
    <row r="304">
      <c r="A304" t="inlineStr">
        <is>
          <t>ORD-1303</t>
        </is>
      </c>
      <c r="B304" s="2" t="n">
        <v>45882</v>
      </c>
      <c r="C304" t="inlineStr">
        <is>
          <t>North</t>
        </is>
      </c>
      <c r="D304" t="inlineStr">
        <is>
          <t>Amit Sharma</t>
        </is>
      </c>
      <c r="E304" t="inlineStr">
        <is>
          <t>Smartphone</t>
        </is>
      </c>
      <c r="F304" t="inlineStr">
        <is>
          <t>Electronics</t>
        </is>
      </c>
      <c r="G304" s="3" t="n">
        <v>10</v>
      </c>
      <c r="H304" s="4" t="n">
        <v>22000</v>
      </c>
      <c r="I304" s="4" t="n">
        <v>220000</v>
      </c>
      <c r="J304" s="4" t="n">
        <v>150836</v>
      </c>
      <c r="K304" s="4" t="n">
        <v>69164</v>
      </c>
    </row>
    <row r="305">
      <c r="A305" t="inlineStr">
        <is>
          <t>ORD-1304</t>
        </is>
      </c>
      <c r="B305" s="2" t="n">
        <v>45845</v>
      </c>
      <c r="C305" t="inlineStr">
        <is>
          <t>South</t>
        </is>
      </c>
      <c r="D305" t="inlineStr">
        <is>
          <t>Divya Menon</t>
        </is>
      </c>
      <c r="E305" t="inlineStr">
        <is>
          <t>Laptop</t>
        </is>
      </c>
      <c r="F305" t="inlineStr">
        <is>
          <t>Electronics</t>
        </is>
      </c>
      <c r="G305" s="3" t="n">
        <v>4</v>
      </c>
      <c r="H305" s="4" t="n">
        <v>55000</v>
      </c>
      <c r="I305" s="4" t="n">
        <v>220000</v>
      </c>
      <c r="J305" s="4" t="n">
        <v>155255</v>
      </c>
      <c r="K305" s="4" t="n">
        <v>64745</v>
      </c>
    </row>
    <row r="306">
      <c r="A306" t="inlineStr">
        <is>
          <t>ORD-1305</t>
        </is>
      </c>
      <c r="B306" s="2" t="n">
        <v>46005</v>
      </c>
      <c r="C306" t="inlineStr">
        <is>
          <t>West</t>
        </is>
      </c>
      <c r="D306" t="inlineStr">
        <is>
          <t>Kavita Patil</t>
        </is>
      </c>
      <c r="E306" t="inlineStr">
        <is>
          <t>Headphones</t>
        </is>
      </c>
      <c r="F306" t="inlineStr">
        <is>
          <t>Accessories</t>
        </is>
      </c>
      <c r="G306" s="3" t="n">
        <v>1</v>
      </c>
      <c r="H306" s="4" t="n">
        <v>3500</v>
      </c>
      <c r="I306" s="4" t="n">
        <v>3500</v>
      </c>
      <c r="J306" s="4" t="n">
        <v>2349</v>
      </c>
      <c r="K306" s="4" t="n">
        <v>1151</v>
      </c>
    </row>
    <row r="307">
      <c r="A307" t="inlineStr">
        <is>
          <t>ORD-1306</t>
        </is>
      </c>
      <c r="B307" s="2" t="n">
        <v>45951</v>
      </c>
      <c r="C307" t="inlineStr">
        <is>
          <t>East</t>
        </is>
      </c>
      <c r="D307" t="inlineStr">
        <is>
          <t>Sourav Das</t>
        </is>
      </c>
      <c r="E307" t="inlineStr">
        <is>
          <t>Tablet</t>
        </is>
      </c>
      <c r="F307" t="inlineStr">
        <is>
          <t>Electronics</t>
        </is>
      </c>
      <c r="G307" s="3" t="n">
        <v>8</v>
      </c>
      <c r="H307" s="4" t="n">
        <v>18000</v>
      </c>
      <c r="I307" s="4" t="n">
        <v>144000</v>
      </c>
      <c r="J307" s="4" t="n">
        <v>101177</v>
      </c>
      <c r="K307" s="4" t="n">
        <v>42823</v>
      </c>
    </row>
    <row r="308">
      <c r="A308" t="inlineStr">
        <is>
          <t>ORD-1307</t>
        </is>
      </c>
      <c r="B308" s="2" t="n">
        <v>45785</v>
      </c>
      <c r="C308" t="inlineStr">
        <is>
          <t>East</t>
        </is>
      </c>
      <c r="D308" t="inlineStr">
        <is>
          <t>Sourav Das</t>
        </is>
      </c>
      <c r="E308" t="inlineStr">
        <is>
          <t>Monitor</t>
        </is>
      </c>
      <c r="F308" t="inlineStr">
        <is>
          <t>Electronics</t>
        </is>
      </c>
      <c r="G308" s="3" t="n">
        <v>6</v>
      </c>
      <c r="H308" s="4" t="n">
        <v>14000</v>
      </c>
      <c r="I308" s="4" t="n">
        <v>84000</v>
      </c>
      <c r="J308" s="4" t="n">
        <v>57113</v>
      </c>
      <c r="K308" s="4" t="n">
        <v>26887</v>
      </c>
    </row>
    <row r="309">
      <c r="A309" t="inlineStr">
        <is>
          <t>ORD-1308</t>
        </is>
      </c>
      <c r="B309" s="2" t="n">
        <v>45856</v>
      </c>
      <c r="C309" t="inlineStr">
        <is>
          <t>North</t>
        </is>
      </c>
      <c r="D309" t="inlineStr">
        <is>
          <t>Amit Sharma</t>
        </is>
      </c>
      <c r="E309" t="inlineStr">
        <is>
          <t>Keyboard</t>
        </is>
      </c>
      <c r="F309" t="inlineStr">
        <is>
          <t>Accessories</t>
        </is>
      </c>
      <c r="G309" s="3" t="n">
        <v>3</v>
      </c>
      <c r="H309" s="4" t="n">
        <v>2500</v>
      </c>
      <c r="I309" s="4" t="n">
        <v>7500</v>
      </c>
      <c r="J309" s="4" t="n">
        <v>4874</v>
      </c>
      <c r="K309" s="4" t="n">
        <v>2626</v>
      </c>
    </row>
    <row r="310">
      <c r="A310" t="inlineStr">
        <is>
          <t>ORD-1309</t>
        </is>
      </c>
      <c r="B310" s="2" t="n">
        <v>45971</v>
      </c>
      <c r="C310" t="inlineStr">
        <is>
          <t>East</t>
        </is>
      </c>
      <c r="D310" t="inlineStr">
        <is>
          <t>Anita Roy</t>
        </is>
      </c>
      <c r="E310" t="inlineStr">
        <is>
          <t>Tablet</t>
        </is>
      </c>
      <c r="F310" t="inlineStr">
        <is>
          <t>Electronics</t>
        </is>
      </c>
      <c r="G310" s="3" t="n">
        <v>12</v>
      </c>
      <c r="H310" s="4" t="n">
        <v>18000</v>
      </c>
      <c r="I310" s="4" t="n">
        <v>216000</v>
      </c>
      <c r="J310" s="4" t="n">
        <v>138079</v>
      </c>
      <c r="K310" s="4" t="n">
        <v>77921</v>
      </c>
    </row>
    <row r="311">
      <c r="A311" t="inlineStr">
        <is>
          <t>ORD-1310</t>
        </is>
      </c>
      <c r="B311" s="2" t="n">
        <v>45695</v>
      </c>
      <c r="C311" t="inlineStr">
        <is>
          <t>West</t>
        </is>
      </c>
      <c r="D311" t="inlineStr">
        <is>
          <t>Kavita Patil</t>
        </is>
      </c>
      <c r="E311" t="inlineStr">
        <is>
          <t>Smartphone</t>
        </is>
      </c>
      <c r="F311" t="inlineStr">
        <is>
          <t>Electronics</t>
        </is>
      </c>
      <c r="G311" s="3" t="n">
        <v>2</v>
      </c>
      <c r="H311" s="4" t="n">
        <v>22000</v>
      </c>
      <c r="I311" s="4" t="n">
        <v>44000</v>
      </c>
      <c r="J311" s="4" t="n">
        <v>25394</v>
      </c>
      <c r="K311" s="4" t="n">
        <v>18606</v>
      </c>
    </row>
    <row r="312">
      <c r="A312" t="inlineStr">
        <is>
          <t>ORD-1311</t>
        </is>
      </c>
      <c r="B312" s="2" t="n">
        <v>46007</v>
      </c>
      <c r="C312" t="inlineStr">
        <is>
          <t>South</t>
        </is>
      </c>
      <c r="D312" t="inlineStr">
        <is>
          <t>Divya Menon</t>
        </is>
      </c>
      <c r="E312" t="inlineStr">
        <is>
          <t>Keyboard</t>
        </is>
      </c>
      <c r="F312" t="inlineStr">
        <is>
          <t>Accessories</t>
        </is>
      </c>
      <c r="G312" s="3" t="n">
        <v>8</v>
      </c>
      <c r="H312" s="4" t="n">
        <v>2500</v>
      </c>
      <c r="I312" s="4" t="n">
        <v>20000</v>
      </c>
      <c r="J312" s="4" t="n">
        <v>14989</v>
      </c>
      <c r="K312" s="4" t="n">
        <v>5011</v>
      </c>
    </row>
    <row r="313">
      <c r="A313" t="inlineStr">
        <is>
          <t>ORD-1312</t>
        </is>
      </c>
      <c r="B313" s="2" t="n">
        <v>45806</v>
      </c>
      <c r="C313" t="inlineStr">
        <is>
          <t>East</t>
        </is>
      </c>
      <c r="D313" t="inlineStr">
        <is>
          <t>Anita Roy</t>
        </is>
      </c>
      <c r="E313" t="inlineStr">
        <is>
          <t>Keyboard</t>
        </is>
      </c>
      <c r="F313" t="inlineStr">
        <is>
          <t>Accessories</t>
        </is>
      </c>
      <c r="G313" s="3" t="n">
        <v>2</v>
      </c>
      <c r="H313" s="4" t="n">
        <v>2500</v>
      </c>
      <c r="I313" s="4" t="n">
        <v>5000</v>
      </c>
      <c r="J313" s="4" t="n">
        <v>3300</v>
      </c>
      <c r="K313" s="4" t="n">
        <v>1700</v>
      </c>
    </row>
    <row r="314">
      <c r="A314" t="inlineStr">
        <is>
          <t>ORD-1313</t>
        </is>
      </c>
      <c r="B314" s="2" t="n">
        <v>45984</v>
      </c>
      <c r="C314" t="inlineStr">
        <is>
          <t>South</t>
        </is>
      </c>
      <c r="D314" t="inlineStr">
        <is>
          <t>Ravi Nair</t>
        </is>
      </c>
      <c r="E314" t="inlineStr">
        <is>
          <t>Keyboard</t>
        </is>
      </c>
      <c r="F314" t="inlineStr">
        <is>
          <t>Accessories</t>
        </is>
      </c>
      <c r="G314" s="3" t="n">
        <v>12</v>
      </c>
      <c r="H314" s="4" t="n">
        <v>2500</v>
      </c>
      <c r="I314" s="4" t="n">
        <v>30000</v>
      </c>
      <c r="J314" s="4" t="n">
        <v>22064</v>
      </c>
      <c r="K314" s="4" t="n">
        <v>7936</v>
      </c>
    </row>
    <row r="315">
      <c r="A315" t="inlineStr">
        <is>
          <t>ORD-1314</t>
        </is>
      </c>
      <c r="B315" s="2" t="n">
        <v>45760</v>
      </c>
      <c r="C315" t="inlineStr">
        <is>
          <t>East</t>
        </is>
      </c>
      <c r="D315" t="inlineStr">
        <is>
          <t>Sourav Das</t>
        </is>
      </c>
      <c r="E315" t="inlineStr">
        <is>
          <t>Headphones</t>
        </is>
      </c>
      <c r="F315" t="inlineStr">
        <is>
          <t>Accessories</t>
        </is>
      </c>
      <c r="G315" s="3" t="n">
        <v>4</v>
      </c>
      <c r="H315" s="4" t="n">
        <v>3500</v>
      </c>
      <c r="I315" s="4" t="n">
        <v>14000</v>
      </c>
      <c r="J315" s="4" t="n">
        <v>8040</v>
      </c>
      <c r="K315" s="4" t="n">
        <v>5960</v>
      </c>
    </row>
    <row r="316">
      <c r="A316" t="inlineStr">
        <is>
          <t>ORD-1315</t>
        </is>
      </c>
      <c r="B316" s="2" t="n">
        <v>45951</v>
      </c>
      <c r="C316" t="inlineStr">
        <is>
          <t>South</t>
        </is>
      </c>
      <c r="D316" t="inlineStr">
        <is>
          <t>Divya Menon</t>
        </is>
      </c>
      <c r="E316" t="inlineStr">
        <is>
          <t>Monitor</t>
        </is>
      </c>
      <c r="F316" t="inlineStr">
        <is>
          <t>Electronics</t>
        </is>
      </c>
      <c r="G316" s="3" t="n">
        <v>1</v>
      </c>
      <c r="H316" s="4" t="n">
        <v>14000</v>
      </c>
      <c r="I316" s="4" t="n">
        <v>14000</v>
      </c>
      <c r="J316" s="4" t="n">
        <v>8711</v>
      </c>
      <c r="K316" s="4" t="n">
        <v>5289</v>
      </c>
    </row>
    <row r="317">
      <c r="A317" t="inlineStr">
        <is>
          <t>ORD-1316</t>
        </is>
      </c>
      <c r="B317" s="2" t="n">
        <v>45702</v>
      </c>
      <c r="C317" t="inlineStr">
        <is>
          <t>West</t>
        </is>
      </c>
      <c r="D317" t="inlineStr">
        <is>
          <t>Vikram Mehta</t>
        </is>
      </c>
      <c r="E317" t="inlineStr">
        <is>
          <t>Headphones</t>
        </is>
      </c>
      <c r="F317" t="inlineStr">
        <is>
          <t>Accessories</t>
        </is>
      </c>
      <c r="G317" s="3" t="n">
        <v>3</v>
      </c>
      <c r="H317" s="4" t="n">
        <v>3500</v>
      </c>
      <c r="I317" s="4" t="n">
        <v>10500</v>
      </c>
      <c r="J317" s="4" t="n">
        <v>7060</v>
      </c>
      <c r="K317" s="4" t="n">
        <v>3440</v>
      </c>
    </row>
    <row r="318">
      <c r="A318" t="inlineStr">
        <is>
          <t>ORD-1317</t>
        </is>
      </c>
      <c r="B318" s="2" t="n">
        <v>45927</v>
      </c>
      <c r="C318" t="inlineStr">
        <is>
          <t>East</t>
        </is>
      </c>
      <c r="D318" t="inlineStr">
        <is>
          <t>Anita Roy</t>
        </is>
      </c>
      <c r="E318" t="inlineStr">
        <is>
          <t>Monitor</t>
        </is>
      </c>
      <c r="F318" t="inlineStr">
        <is>
          <t>Electronics</t>
        </is>
      </c>
      <c r="G318" s="3" t="n">
        <v>12</v>
      </c>
      <c r="H318" s="4" t="n">
        <v>14000</v>
      </c>
      <c r="I318" s="4" t="n">
        <v>168000</v>
      </c>
      <c r="J318" s="4" t="n">
        <v>116554</v>
      </c>
      <c r="K318" s="4" t="n">
        <v>51446</v>
      </c>
    </row>
    <row r="319">
      <c r="A319" t="inlineStr">
        <is>
          <t>ORD-1318</t>
        </is>
      </c>
      <c r="B319" s="2" t="n">
        <v>45820</v>
      </c>
      <c r="C319" t="inlineStr">
        <is>
          <t>West</t>
        </is>
      </c>
      <c r="D319" t="inlineStr">
        <is>
          <t>Vikram Mehta</t>
        </is>
      </c>
      <c r="E319" t="inlineStr">
        <is>
          <t>Headphones</t>
        </is>
      </c>
      <c r="F319" t="inlineStr">
        <is>
          <t>Accessories</t>
        </is>
      </c>
      <c r="G319" s="3" t="n">
        <v>2</v>
      </c>
      <c r="H319" s="4" t="n">
        <v>3500</v>
      </c>
      <c r="I319" s="4" t="n">
        <v>7000</v>
      </c>
      <c r="J319" s="4" t="n">
        <v>4025</v>
      </c>
      <c r="K319" s="4" t="n">
        <v>2975</v>
      </c>
    </row>
    <row r="320">
      <c r="A320" t="inlineStr">
        <is>
          <t>ORD-1319</t>
        </is>
      </c>
      <c r="B320" s="2" t="n">
        <v>45723</v>
      </c>
      <c r="C320" t="inlineStr">
        <is>
          <t>West</t>
        </is>
      </c>
      <c r="D320" t="inlineStr">
        <is>
          <t>Vikram Mehta</t>
        </is>
      </c>
      <c r="E320" t="inlineStr">
        <is>
          <t>Monitor</t>
        </is>
      </c>
      <c r="F320" t="inlineStr">
        <is>
          <t>Electronics</t>
        </is>
      </c>
      <c r="G320" s="3" t="n">
        <v>11</v>
      </c>
      <c r="H320" s="4" t="n">
        <v>14000</v>
      </c>
      <c r="I320" s="4" t="n">
        <v>154000</v>
      </c>
      <c r="J320" s="4" t="n">
        <v>100635</v>
      </c>
      <c r="K320" s="4" t="n">
        <v>53365</v>
      </c>
    </row>
    <row r="321">
      <c r="A321" t="inlineStr">
        <is>
          <t>ORD-1320</t>
        </is>
      </c>
      <c r="B321" s="2" t="n">
        <v>45686</v>
      </c>
      <c r="C321" t="inlineStr">
        <is>
          <t>South</t>
        </is>
      </c>
      <c r="D321" t="inlineStr">
        <is>
          <t>Ravi Nair</t>
        </is>
      </c>
      <c r="E321" t="inlineStr">
        <is>
          <t>Monitor</t>
        </is>
      </c>
      <c r="F321" t="inlineStr">
        <is>
          <t>Electronics</t>
        </is>
      </c>
      <c r="G321" s="3" t="n">
        <v>9</v>
      </c>
      <c r="H321" s="4" t="n">
        <v>14000</v>
      </c>
      <c r="I321" s="4" t="n">
        <v>126000</v>
      </c>
      <c r="J321" s="4" t="n">
        <v>92250</v>
      </c>
      <c r="K321" s="4" t="n">
        <v>33750</v>
      </c>
    </row>
    <row r="322">
      <c r="A322" t="inlineStr">
        <is>
          <t>ORD-1321</t>
        </is>
      </c>
      <c r="B322" s="2" t="n">
        <v>46021</v>
      </c>
      <c r="C322" t="inlineStr">
        <is>
          <t>South</t>
        </is>
      </c>
      <c r="D322" t="inlineStr">
        <is>
          <t>Ravi Nair</t>
        </is>
      </c>
      <c r="E322" t="inlineStr">
        <is>
          <t>Tablet</t>
        </is>
      </c>
      <c r="F322" t="inlineStr">
        <is>
          <t>Electronics</t>
        </is>
      </c>
      <c r="G322" s="3" t="n">
        <v>3</v>
      </c>
      <c r="H322" s="4" t="n">
        <v>18000</v>
      </c>
      <c r="I322" s="4" t="n">
        <v>54000</v>
      </c>
      <c r="J322" s="4" t="n">
        <v>31449</v>
      </c>
      <c r="K322" s="4" t="n">
        <v>22551</v>
      </c>
    </row>
    <row r="323">
      <c r="A323" t="inlineStr">
        <is>
          <t>ORD-1322</t>
        </is>
      </c>
      <c r="B323" s="2" t="n">
        <v>45786</v>
      </c>
      <c r="C323" t="inlineStr">
        <is>
          <t>East</t>
        </is>
      </c>
      <c r="D323" t="inlineStr">
        <is>
          <t>Sourav Das</t>
        </is>
      </c>
      <c r="E323" t="inlineStr">
        <is>
          <t>Headphones</t>
        </is>
      </c>
      <c r="F323" t="inlineStr">
        <is>
          <t>Accessories</t>
        </is>
      </c>
      <c r="G323" s="3" t="n">
        <v>5</v>
      </c>
      <c r="H323" s="4" t="n">
        <v>3500</v>
      </c>
      <c r="I323" s="4" t="n">
        <v>17500</v>
      </c>
      <c r="J323" s="4" t="n">
        <v>12586</v>
      </c>
      <c r="K323" s="4" t="n">
        <v>4914</v>
      </c>
    </row>
    <row r="324">
      <c r="A324" t="inlineStr">
        <is>
          <t>ORD-1323</t>
        </is>
      </c>
      <c r="B324" s="2" t="n">
        <v>45931</v>
      </c>
      <c r="C324" t="inlineStr">
        <is>
          <t>East</t>
        </is>
      </c>
      <c r="D324" t="inlineStr">
        <is>
          <t>Sourav Das</t>
        </is>
      </c>
      <c r="E324" t="inlineStr">
        <is>
          <t>Smartphone</t>
        </is>
      </c>
      <c r="F324" t="inlineStr">
        <is>
          <t>Electronics</t>
        </is>
      </c>
      <c r="G324" s="3" t="n">
        <v>11</v>
      </c>
      <c r="H324" s="4" t="n">
        <v>22000</v>
      </c>
      <c r="I324" s="4" t="n">
        <v>242000</v>
      </c>
      <c r="J324" s="4" t="n">
        <v>147757</v>
      </c>
      <c r="K324" s="4" t="n">
        <v>94243</v>
      </c>
    </row>
    <row r="325">
      <c r="A325" t="inlineStr">
        <is>
          <t>ORD-1324</t>
        </is>
      </c>
      <c r="B325" s="2" t="n">
        <v>45995</v>
      </c>
      <c r="C325" t="inlineStr">
        <is>
          <t>South</t>
        </is>
      </c>
      <c r="D325" t="inlineStr">
        <is>
          <t>Divya Menon</t>
        </is>
      </c>
      <c r="E325" t="inlineStr">
        <is>
          <t>Headphones</t>
        </is>
      </c>
      <c r="F325" t="inlineStr">
        <is>
          <t>Accessories</t>
        </is>
      </c>
      <c r="G325" s="3" t="n">
        <v>10</v>
      </c>
      <c r="H325" s="4" t="n">
        <v>3500</v>
      </c>
      <c r="I325" s="4" t="n">
        <v>35000</v>
      </c>
      <c r="J325" s="4" t="n">
        <v>20329</v>
      </c>
      <c r="K325" s="4" t="n">
        <v>14671</v>
      </c>
    </row>
    <row r="326">
      <c r="A326" t="inlineStr">
        <is>
          <t>ORD-1325</t>
        </is>
      </c>
      <c r="B326" s="2" t="n">
        <v>45986</v>
      </c>
      <c r="C326" t="inlineStr">
        <is>
          <t>North</t>
        </is>
      </c>
      <c r="D326" t="inlineStr">
        <is>
          <t>Priya Verma</t>
        </is>
      </c>
      <c r="E326" t="inlineStr">
        <is>
          <t>Laptop</t>
        </is>
      </c>
      <c r="F326" t="inlineStr">
        <is>
          <t>Electronics</t>
        </is>
      </c>
      <c r="G326" s="3" t="n">
        <v>2</v>
      </c>
      <c r="H326" s="4" t="n">
        <v>55000</v>
      </c>
      <c r="I326" s="4" t="n">
        <v>110000</v>
      </c>
      <c r="J326" s="4" t="n">
        <v>61500</v>
      </c>
      <c r="K326" s="4" t="n">
        <v>48500</v>
      </c>
    </row>
    <row r="327">
      <c r="A327" t="inlineStr">
        <is>
          <t>ORD-1326</t>
        </is>
      </c>
      <c r="B327" s="2" t="n">
        <v>45673</v>
      </c>
      <c r="C327" t="inlineStr">
        <is>
          <t>South</t>
        </is>
      </c>
      <c r="D327" t="inlineStr">
        <is>
          <t>Divya Menon</t>
        </is>
      </c>
      <c r="E327" t="inlineStr">
        <is>
          <t>Headphones</t>
        </is>
      </c>
      <c r="F327" t="inlineStr">
        <is>
          <t>Accessories</t>
        </is>
      </c>
      <c r="G327" s="3" t="n">
        <v>7</v>
      </c>
      <c r="H327" s="4" t="n">
        <v>3500</v>
      </c>
      <c r="I327" s="4" t="n">
        <v>24500</v>
      </c>
      <c r="J327" s="4" t="n">
        <v>16504</v>
      </c>
      <c r="K327" s="4" t="n">
        <v>7996</v>
      </c>
    </row>
    <row r="328">
      <c r="A328" t="inlineStr">
        <is>
          <t>ORD-1327</t>
        </is>
      </c>
      <c r="B328" s="2" t="n">
        <v>46008</v>
      </c>
      <c r="C328" t="inlineStr">
        <is>
          <t>East</t>
        </is>
      </c>
      <c r="D328" t="inlineStr">
        <is>
          <t>Anita Roy</t>
        </is>
      </c>
      <c r="E328" t="inlineStr">
        <is>
          <t>Keyboard</t>
        </is>
      </c>
      <c r="F328" t="inlineStr">
        <is>
          <t>Accessories</t>
        </is>
      </c>
      <c r="G328" s="3" t="n">
        <v>5</v>
      </c>
      <c r="H328" s="4" t="n">
        <v>2500</v>
      </c>
      <c r="I328" s="4" t="n">
        <v>12500</v>
      </c>
      <c r="J328" s="4" t="n">
        <v>8082</v>
      </c>
      <c r="K328" s="4" t="n">
        <v>4418</v>
      </c>
    </row>
    <row r="329">
      <c r="A329" t="inlineStr">
        <is>
          <t>ORD-1328</t>
        </is>
      </c>
      <c r="B329" s="2" t="n">
        <v>45738</v>
      </c>
      <c r="C329" t="inlineStr">
        <is>
          <t>East</t>
        </is>
      </c>
      <c r="D329" t="inlineStr">
        <is>
          <t>Anita Roy</t>
        </is>
      </c>
      <c r="E329" t="inlineStr">
        <is>
          <t>Monitor</t>
        </is>
      </c>
      <c r="F329" t="inlineStr">
        <is>
          <t>Electronics</t>
        </is>
      </c>
      <c r="G329" s="3" t="n">
        <v>2</v>
      </c>
      <c r="H329" s="4" t="n">
        <v>14000</v>
      </c>
      <c r="I329" s="4" t="n">
        <v>28000</v>
      </c>
      <c r="J329" s="4" t="n">
        <v>19256</v>
      </c>
      <c r="K329" s="4" t="n">
        <v>8744</v>
      </c>
    </row>
    <row r="330">
      <c r="A330" t="inlineStr">
        <is>
          <t>ORD-1329</t>
        </is>
      </c>
      <c r="B330" s="2" t="n">
        <v>45968</v>
      </c>
      <c r="C330" t="inlineStr">
        <is>
          <t>West</t>
        </is>
      </c>
      <c r="D330" t="inlineStr">
        <is>
          <t>Vikram Mehta</t>
        </is>
      </c>
      <c r="E330" t="inlineStr">
        <is>
          <t>Monitor</t>
        </is>
      </c>
      <c r="F330" t="inlineStr">
        <is>
          <t>Electronics</t>
        </is>
      </c>
      <c r="G330" s="3" t="n">
        <v>8</v>
      </c>
      <c r="H330" s="4" t="n">
        <v>14000</v>
      </c>
      <c r="I330" s="4" t="n">
        <v>112000</v>
      </c>
      <c r="J330" s="4" t="n">
        <v>66170</v>
      </c>
      <c r="K330" s="4" t="n">
        <v>45830</v>
      </c>
    </row>
    <row r="331">
      <c r="A331" t="inlineStr">
        <is>
          <t>ORD-1330</t>
        </is>
      </c>
      <c r="B331" s="2" t="n">
        <v>45834</v>
      </c>
      <c r="C331" t="inlineStr">
        <is>
          <t>East</t>
        </is>
      </c>
      <c r="D331" t="inlineStr">
        <is>
          <t>Anita Roy</t>
        </is>
      </c>
      <c r="E331" t="inlineStr">
        <is>
          <t>Keyboard</t>
        </is>
      </c>
      <c r="F331" t="inlineStr">
        <is>
          <t>Accessories</t>
        </is>
      </c>
      <c r="G331" s="3" t="n">
        <v>6</v>
      </c>
      <c r="H331" s="4" t="n">
        <v>2500</v>
      </c>
      <c r="I331" s="4" t="n">
        <v>15000</v>
      </c>
      <c r="J331" s="4" t="n">
        <v>10453</v>
      </c>
      <c r="K331" s="4" t="n">
        <v>4547</v>
      </c>
    </row>
    <row r="332">
      <c r="A332" t="inlineStr">
        <is>
          <t>ORD-1331</t>
        </is>
      </c>
      <c r="B332" s="2" t="n">
        <v>45821</v>
      </c>
      <c r="C332" t="inlineStr">
        <is>
          <t>South</t>
        </is>
      </c>
      <c r="D332" t="inlineStr">
        <is>
          <t>Ravi Nair</t>
        </is>
      </c>
      <c r="E332" t="inlineStr">
        <is>
          <t>Tablet</t>
        </is>
      </c>
      <c r="F332" t="inlineStr">
        <is>
          <t>Electronics</t>
        </is>
      </c>
      <c r="G332" s="3" t="n">
        <v>9</v>
      </c>
      <c r="H332" s="4" t="n">
        <v>18000</v>
      </c>
      <c r="I332" s="4" t="n">
        <v>162000</v>
      </c>
      <c r="J332" s="4" t="n">
        <v>107297</v>
      </c>
      <c r="K332" s="4" t="n">
        <v>54703</v>
      </c>
    </row>
    <row r="333">
      <c r="A333" t="inlineStr">
        <is>
          <t>ORD-1332</t>
        </is>
      </c>
      <c r="B333" s="2" t="n">
        <v>45730</v>
      </c>
      <c r="C333" t="inlineStr">
        <is>
          <t>West</t>
        </is>
      </c>
      <c r="D333" t="inlineStr">
        <is>
          <t>Vikram Mehta</t>
        </is>
      </c>
      <c r="E333" t="inlineStr">
        <is>
          <t>Laptop</t>
        </is>
      </c>
      <c r="F333" t="inlineStr">
        <is>
          <t>Electronics</t>
        </is>
      </c>
      <c r="G333" s="3" t="n">
        <v>5</v>
      </c>
      <c r="H333" s="4" t="n">
        <v>55000</v>
      </c>
      <c r="I333" s="4" t="n">
        <v>275000</v>
      </c>
      <c r="J333" s="4" t="n">
        <v>175978</v>
      </c>
      <c r="K333" s="4" t="n">
        <v>99022</v>
      </c>
    </row>
    <row r="334">
      <c r="A334" t="inlineStr">
        <is>
          <t>ORD-1333</t>
        </is>
      </c>
      <c r="B334" s="2" t="n">
        <v>45872</v>
      </c>
      <c r="C334" t="inlineStr">
        <is>
          <t>North</t>
        </is>
      </c>
      <c r="D334" t="inlineStr">
        <is>
          <t>Amit Sharma</t>
        </is>
      </c>
      <c r="E334" t="inlineStr">
        <is>
          <t>Tablet</t>
        </is>
      </c>
      <c r="F334" t="inlineStr">
        <is>
          <t>Electronics</t>
        </is>
      </c>
      <c r="G334" s="3" t="n">
        <v>7</v>
      </c>
      <c r="H334" s="4" t="n">
        <v>18000</v>
      </c>
      <c r="I334" s="4" t="n">
        <v>126000</v>
      </c>
      <c r="J334" s="4" t="n">
        <v>91077</v>
      </c>
      <c r="K334" s="4" t="n">
        <v>34923</v>
      </c>
    </row>
    <row r="335">
      <c r="A335" t="inlineStr">
        <is>
          <t>ORD-1334</t>
        </is>
      </c>
      <c r="B335" s="2" t="n">
        <v>45755</v>
      </c>
      <c r="C335" t="inlineStr">
        <is>
          <t>South</t>
        </is>
      </c>
      <c r="D335" t="inlineStr">
        <is>
          <t>Ravi Nair</t>
        </is>
      </c>
      <c r="E335" t="inlineStr">
        <is>
          <t>Tablet</t>
        </is>
      </c>
      <c r="F335" t="inlineStr">
        <is>
          <t>Electronics</t>
        </is>
      </c>
      <c r="G335" s="3" t="n">
        <v>10</v>
      </c>
      <c r="H335" s="4" t="n">
        <v>18000</v>
      </c>
      <c r="I335" s="4" t="n">
        <v>180000</v>
      </c>
      <c r="J335" s="4" t="n">
        <v>124961</v>
      </c>
      <c r="K335" s="4" t="n">
        <v>55039</v>
      </c>
    </row>
    <row r="336">
      <c r="A336" t="inlineStr">
        <is>
          <t>ORD-1335</t>
        </is>
      </c>
      <c r="B336" s="2" t="n">
        <v>45815</v>
      </c>
      <c r="C336" t="inlineStr">
        <is>
          <t>West</t>
        </is>
      </c>
      <c r="D336" t="inlineStr">
        <is>
          <t>Kavita Patil</t>
        </is>
      </c>
      <c r="E336" t="inlineStr">
        <is>
          <t>Headphones</t>
        </is>
      </c>
      <c r="F336" t="inlineStr">
        <is>
          <t>Accessories</t>
        </is>
      </c>
      <c r="G336" s="3" t="n">
        <v>8</v>
      </c>
      <c r="H336" s="4" t="n">
        <v>3500</v>
      </c>
      <c r="I336" s="4" t="n">
        <v>28000</v>
      </c>
      <c r="J336" s="4" t="n">
        <v>18193</v>
      </c>
      <c r="K336" s="4" t="n">
        <v>9807</v>
      </c>
    </row>
    <row r="337">
      <c r="A337" t="inlineStr">
        <is>
          <t>ORD-1336</t>
        </is>
      </c>
      <c r="B337" s="2" t="n">
        <v>45781</v>
      </c>
      <c r="C337" t="inlineStr">
        <is>
          <t>North</t>
        </is>
      </c>
      <c r="D337" t="inlineStr">
        <is>
          <t>Amit Sharma</t>
        </is>
      </c>
      <c r="E337" t="inlineStr">
        <is>
          <t>Laptop</t>
        </is>
      </c>
      <c r="F337" t="inlineStr">
        <is>
          <t>Electronics</t>
        </is>
      </c>
      <c r="G337" s="3" t="n">
        <v>7</v>
      </c>
      <c r="H337" s="4" t="n">
        <v>55000</v>
      </c>
      <c r="I337" s="4" t="n">
        <v>385000</v>
      </c>
      <c r="J337" s="4" t="n">
        <v>250669</v>
      </c>
      <c r="K337" s="4" t="n">
        <v>134331</v>
      </c>
    </row>
    <row r="338">
      <c r="A338" t="inlineStr">
        <is>
          <t>ORD-1337</t>
        </is>
      </c>
      <c r="B338" s="2" t="n">
        <v>45963</v>
      </c>
      <c r="C338" t="inlineStr">
        <is>
          <t>East</t>
        </is>
      </c>
      <c r="D338" t="inlineStr">
        <is>
          <t>Anita Roy</t>
        </is>
      </c>
      <c r="E338" t="inlineStr">
        <is>
          <t>Laptop</t>
        </is>
      </c>
      <c r="F338" t="inlineStr">
        <is>
          <t>Electronics</t>
        </is>
      </c>
      <c r="G338" s="3" t="n">
        <v>1</v>
      </c>
      <c r="H338" s="4" t="n">
        <v>55000</v>
      </c>
      <c r="I338" s="4" t="n">
        <v>55000</v>
      </c>
      <c r="J338" s="4" t="n">
        <v>33345</v>
      </c>
      <c r="K338" s="4" t="n">
        <v>21655</v>
      </c>
    </row>
    <row r="339">
      <c r="A339" t="inlineStr">
        <is>
          <t>ORD-1338</t>
        </is>
      </c>
      <c r="B339" s="2" t="n">
        <v>45878</v>
      </c>
      <c r="C339" t="inlineStr">
        <is>
          <t>East</t>
        </is>
      </c>
      <c r="D339" t="inlineStr">
        <is>
          <t>Sourav Das</t>
        </is>
      </c>
      <c r="E339" t="inlineStr">
        <is>
          <t>Headphones</t>
        </is>
      </c>
      <c r="F339" t="inlineStr">
        <is>
          <t>Accessories</t>
        </is>
      </c>
      <c r="G339" s="3" t="n">
        <v>1</v>
      </c>
      <c r="H339" s="4" t="n">
        <v>3500</v>
      </c>
      <c r="I339" s="4" t="n">
        <v>3500</v>
      </c>
      <c r="J339" s="4" t="n">
        <v>2518</v>
      </c>
      <c r="K339" s="4" t="n">
        <v>982</v>
      </c>
    </row>
    <row r="340">
      <c r="A340" t="inlineStr">
        <is>
          <t>ORD-1339</t>
        </is>
      </c>
      <c r="B340" s="2" t="n">
        <v>45845</v>
      </c>
      <c r="C340" t="inlineStr">
        <is>
          <t>East</t>
        </is>
      </c>
      <c r="D340" t="inlineStr">
        <is>
          <t>Sourav Das</t>
        </is>
      </c>
      <c r="E340" t="inlineStr">
        <is>
          <t>Keyboard</t>
        </is>
      </c>
      <c r="F340" t="inlineStr">
        <is>
          <t>Accessories</t>
        </is>
      </c>
      <c r="G340" s="3" t="n">
        <v>6</v>
      </c>
      <c r="H340" s="4" t="n">
        <v>2500</v>
      </c>
      <c r="I340" s="4" t="n">
        <v>15000</v>
      </c>
      <c r="J340" s="4" t="n">
        <v>10542</v>
      </c>
      <c r="K340" s="4" t="n">
        <v>4458</v>
      </c>
    </row>
    <row r="341">
      <c r="A341" t="inlineStr">
        <is>
          <t>ORD-1340</t>
        </is>
      </c>
      <c r="B341" s="2" t="n">
        <v>45843</v>
      </c>
      <c r="C341" t="inlineStr">
        <is>
          <t>West</t>
        </is>
      </c>
      <c r="D341" t="inlineStr">
        <is>
          <t>Kavita Patil</t>
        </is>
      </c>
      <c r="E341" t="inlineStr">
        <is>
          <t>Laptop</t>
        </is>
      </c>
      <c r="F341" t="inlineStr">
        <is>
          <t>Electronics</t>
        </is>
      </c>
      <c r="G341" s="3" t="n">
        <v>10</v>
      </c>
      <c r="H341" s="4" t="n">
        <v>55000</v>
      </c>
      <c r="I341" s="4" t="n">
        <v>550000</v>
      </c>
      <c r="J341" s="4" t="n">
        <v>364300</v>
      </c>
      <c r="K341" s="4" t="n">
        <v>185700</v>
      </c>
    </row>
    <row r="342">
      <c r="A342" t="inlineStr">
        <is>
          <t>ORD-1341</t>
        </is>
      </c>
      <c r="B342" s="2" t="n">
        <v>45939</v>
      </c>
      <c r="C342" t="inlineStr">
        <is>
          <t>North</t>
        </is>
      </c>
      <c r="D342" t="inlineStr">
        <is>
          <t>Priya Verma</t>
        </is>
      </c>
      <c r="E342" t="inlineStr">
        <is>
          <t>Monitor</t>
        </is>
      </c>
      <c r="F342" t="inlineStr">
        <is>
          <t>Electronics</t>
        </is>
      </c>
      <c r="G342" s="3" t="n">
        <v>9</v>
      </c>
      <c r="H342" s="4" t="n">
        <v>14000</v>
      </c>
      <c r="I342" s="4" t="n">
        <v>126000</v>
      </c>
      <c r="J342" s="4" t="n">
        <v>80649</v>
      </c>
      <c r="K342" s="4" t="n">
        <v>45351</v>
      </c>
    </row>
    <row r="343">
      <c r="A343" t="inlineStr">
        <is>
          <t>ORD-1342</t>
        </is>
      </c>
      <c r="B343" s="2" t="n">
        <v>45831</v>
      </c>
      <c r="C343" t="inlineStr">
        <is>
          <t>North</t>
        </is>
      </c>
      <c r="D343" t="inlineStr">
        <is>
          <t>Priya Verma</t>
        </is>
      </c>
      <c r="E343" t="inlineStr">
        <is>
          <t>Smartphone</t>
        </is>
      </c>
      <c r="F343" t="inlineStr">
        <is>
          <t>Electronics</t>
        </is>
      </c>
      <c r="G343" s="3" t="n">
        <v>2</v>
      </c>
      <c r="H343" s="4" t="n">
        <v>22000</v>
      </c>
      <c r="I343" s="4" t="n">
        <v>44000</v>
      </c>
      <c r="J343" s="4" t="n">
        <v>27666</v>
      </c>
      <c r="K343" s="4" t="n">
        <v>16334</v>
      </c>
    </row>
    <row r="344">
      <c r="A344" t="inlineStr">
        <is>
          <t>ORD-1343</t>
        </is>
      </c>
      <c r="B344" s="2" t="n">
        <v>45914</v>
      </c>
      <c r="C344" t="inlineStr">
        <is>
          <t>South</t>
        </is>
      </c>
      <c r="D344" t="inlineStr">
        <is>
          <t>Ravi Nair</t>
        </is>
      </c>
      <c r="E344" t="inlineStr">
        <is>
          <t>Smartphone</t>
        </is>
      </c>
      <c r="F344" t="inlineStr">
        <is>
          <t>Electronics</t>
        </is>
      </c>
      <c r="G344" s="3" t="n">
        <v>10</v>
      </c>
      <c r="H344" s="4" t="n">
        <v>22000</v>
      </c>
      <c r="I344" s="4" t="n">
        <v>220000</v>
      </c>
      <c r="J344" s="4" t="n">
        <v>143401</v>
      </c>
      <c r="K344" s="4" t="n">
        <v>76599</v>
      </c>
    </row>
    <row r="345">
      <c r="A345" t="inlineStr">
        <is>
          <t>ORD-1344</t>
        </is>
      </c>
      <c r="B345" s="2" t="n">
        <v>45900</v>
      </c>
      <c r="C345" t="inlineStr">
        <is>
          <t>North</t>
        </is>
      </c>
      <c r="D345" t="inlineStr">
        <is>
          <t>Priya Verma</t>
        </is>
      </c>
      <c r="E345" t="inlineStr">
        <is>
          <t>Laptop</t>
        </is>
      </c>
      <c r="F345" t="inlineStr">
        <is>
          <t>Electronics</t>
        </is>
      </c>
      <c r="G345" s="3" t="n">
        <v>3</v>
      </c>
      <c r="H345" s="4" t="n">
        <v>55000</v>
      </c>
      <c r="I345" s="4" t="n">
        <v>165000</v>
      </c>
      <c r="J345" s="4" t="n">
        <v>114299</v>
      </c>
      <c r="K345" s="4" t="n">
        <v>50701</v>
      </c>
    </row>
    <row r="346">
      <c r="A346" t="inlineStr">
        <is>
          <t>ORD-1345</t>
        </is>
      </c>
      <c r="B346" s="2" t="n">
        <v>45971</v>
      </c>
      <c r="C346" t="inlineStr">
        <is>
          <t>South</t>
        </is>
      </c>
      <c r="D346" t="inlineStr">
        <is>
          <t>Divya Menon</t>
        </is>
      </c>
      <c r="E346" t="inlineStr">
        <is>
          <t>Headphones</t>
        </is>
      </c>
      <c r="F346" t="inlineStr">
        <is>
          <t>Accessories</t>
        </is>
      </c>
      <c r="G346" s="3" t="n">
        <v>9</v>
      </c>
      <c r="H346" s="4" t="n">
        <v>3500</v>
      </c>
      <c r="I346" s="4" t="n">
        <v>31500</v>
      </c>
      <c r="J346" s="4" t="n">
        <v>18206</v>
      </c>
      <c r="K346" s="4" t="n">
        <v>13294</v>
      </c>
    </row>
    <row r="347">
      <c r="A347" t="inlineStr">
        <is>
          <t>ORD-1346</t>
        </is>
      </c>
      <c r="B347" s="2" t="n">
        <v>45811</v>
      </c>
      <c r="C347" t="inlineStr">
        <is>
          <t>South</t>
        </is>
      </c>
      <c r="D347" t="inlineStr">
        <is>
          <t>Divya Menon</t>
        </is>
      </c>
      <c r="E347" t="inlineStr">
        <is>
          <t>Monitor</t>
        </is>
      </c>
      <c r="F347" t="inlineStr">
        <is>
          <t>Electronics</t>
        </is>
      </c>
      <c r="G347" s="3" t="n">
        <v>10</v>
      </c>
      <c r="H347" s="4" t="n">
        <v>14000</v>
      </c>
      <c r="I347" s="4" t="n">
        <v>140000</v>
      </c>
      <c r="J347" s="4" t="n">
        <v>97701</v>
      </c>
      <c r="K347" s="4" t="n">
        <v>42299</v>
      </c>
    </row>
    <row r="348">
      <c r="A348" t="inlineStr">
        <is>
          <t>ORD-1347</t>
        </is>
      </c>
      <c r="B348" s="2" t="n">
        <v>45666</v>
      </c>
      <c r="C348" t="inlineStr">
        <is>
          <t>West</t>
        </is>
      </c>
      <c r="D348" t="inlineStr">
        <is>
          <t>Kavita Patil</t>
        </is>
      </c>
      <c r="E348" t="inlineStr">
        <is>
          <t>Keyboard</t>
        </is>
      </c>
      <c r="F348" t="inlineStr">
        <is>
          <t>Accessories</t>
        </is>
      </c>
      <c r="G348" s="3" t="n">
        <v>10</v>
      </c>
      <c r="H348" s="4" t="n">
        <v>2500</v>
      </c>
      <c r="I348" s="4" t="n">
        <v>25000</v>
      </c>
      <c r="J348" s="4" t="n">
        <v>15249</v>
      </c>
      <c r="K348" s="4" t="n">
        <v>9751</v>
      </c>
    </row>
    <row r="349">
      <c r="A349" t="inlineStr">
        <is>
          <t>ORD-1348</t>
        </is>
      </c>
      <c r="B349" s="2" t="n">
        <v>45956</v>
      </c>
      <c r="C349" t="inlineStr">
        <is>
          <t>East</t>
        </is>
      </c>
      <c r="D349" t="inlineStr">
        <is>
          <t>Anita Roy</t>
        </is>
      </c>
      <c r="E349" t="inlineStr">
        <is>
          <t>Keyboard</t>
        </is>
      </c>
      <c r="F349" t="inlineStr">
        <is>
          <t>Accessories</t>
        </is>
      </c>
      <c r="G349" s="3" t="n">
        <v>2</v>
      </c>
      <c r="H349" s="4" t="n">
        <v>2500</v>
      </c>
      <c r="I349" s="4" t="n">
        <v>5000</v>
      </c>
      <c r="J349" s="4" t="n">
        <v>3730</v>
      </c>
      <c r="K349" s="4" t="n">
        <v>1270</v>
      </c>
    </row>
    <row r="350">
      <c r="A350" t="inlineStr">
        <is>
          <t>ORD-1349</t>
        </is>
      </c>
      <c r="B350" s="2" t="n">
        <v>45993</v>
      </c>
      <c r="C350" t="inlineStr">
        <is>
          <t>North</t>
        </is>
      </c>
      <c r="D350" t="inlineStr">
        <is>
          <t>Amit Sharma</t>
        </is>
      </c>
      <c r="E350" t="inlineStr">
        <is>
          <t>Headphones</t>
        </is>
      </c>
      <c r="F350" t="inlineStr">
        <is>
          <t>Accessories</t>
        </is>
      </c>
      <c r="G350" s="3" t="n">
        <v>8</v>
      </c>
      <c r="H350" s="4" t="n">
        <v>3500</v>
      </c>
      <c r="I350" s="4" t="n">
        <v>28000</v>
      </c>
      <c r="J350" s="4" t="n">
        <v>16887</v>
      </c>
      <c r="K350" s="4" t="n">
        <v>11113</v>
      </c>
    </row>
    <row r="351">
      <c r="A351" t="inlineStr">
        <is>
          <t>ORD-1350</t>
        </is>
      </c>
      <c r="B351" s="2" t="n">
        <v>45980</v>
      </c>
      <c r="C351" t="inlineStr">
        <is>
          <t>North</t>
        </is>
      </c>
      <c r="D351" t="inlineStr">
        <is>
          <t>Priya Verma</t>
        </is>
      </c>
      <c r="E351" t="inlineStr">
        <is>
          <t>Headphones</t>
        </is>
      </c>
      <c r="F351" t="inlineStr">
        <is>
          <t>Accessories</t>
        </is>
      </c>
      <c r="G351" s="3" t="n">
        <v>8</v>
      </c>
      <c r="H351" s="4" t="n">
        <v>3500</v>
      </c>
      <c r="I351" s="4" t="n">
        <v>28000</v>
      </c>
      <c r="J351" s="4" t="n">
        <v>16355</v>
      </c>
      <c r="K351" s="4" t="n">
        <v>11645</v>
      </c>
    </row>
    <row r="352">
      <c r="A352" t="inlineStr">
        <is>
          <t>ORD-1351</t>
        </is>
      </c>
      <c r="B352" s="2" t="n">
        <v>46016</v>
      </c>
      <c r="C352" t="inlineStr">
        <is>
          <t>South</t>
        </is>
      </c>
      <c r="D352" t="inlineStr">
        <is>
          <t>Ravi Nair</t>
        </is>
      </c>
      <c r="E352" t="inlineStr">
        <is>
          <t>Keyboard</t>
        </is>
      </c>
      <c r="F352" t="inlineStr">
        <is>
          <t>Accessories</t>
        </is>
      </c>
      <c r="G352" s="3" t="n">
        <v>4</v>
      </c>
      <c r="H352" s="4" t="n">
        <v>2500</v>
      </c>
      <c r="I352" s="4" t="n">
        <v>10000</v>
      </c>
      <c r="J352" s="4" t="n">
        <v>5563</v>
      </c>
      <c r="K352" s="4" t="n">
        <v>4437</v>
      </c>
    </row>
    <row r="353">
      <c r="A353" t="inlineStr">
        <is>
          <t>ORD-1352</t>
        </is>
      </c>
      <c r="B353" s="2" t="n">
        <v>45735</v>
      </c>
      <c r="C353" t="inlineStr">
        <is>
          <t>South</t>
        </is>
      </c>
      <c r="D353" t="inlineStr">
        <is>
          <t>Divya Menon</t>
        </is>
      </c>
      <c r="E353" t="inlineStr">
        <is>
          <t>Laptop</t>
        </is>
      </c>
      <c r="F353" t="inlineStr">
        <is>
          <t>Electronics</t>
        </is>
      </c>
      <c r="G353" s="3" t="n">
        <v>8</v>
      </c>
      <c r="H353" s="4" t="n">
        <v>55000</v>
      </c>
      <c r="I353" s="4" t="n">
        <v>440000</v>
      </c>
      <c r="J353" s="4" t="n">
        <v>269605</v>
      </c>
      <c r="K353" s="4" t="n">
        <v>170395</v>
      </c>
    </row>
    <row r="354">
      <c r="A354" t="inlineStr">
        <is>
          <t>ORD-1353</t>
        </is>
      </c>
      <c r="B354" s="2" t="n">
        <v>45899</v>
      </c>
      <c r="C354" t="inlineStr">
        <is>
          <t>South</t>
        </is>
      </c>
      <c r="D354" t="inlineStr">
        <is>
          <t>Ravi Nair</t>
        </is>
      </c>
      <c r="E354" t="inlineStr">
        <is>
          <t>Monitor</t>
        </is>
      </c>
      <c r="F354" t="inlineStr">
        <is>
          <t>Electronics</t>
        </is>
      </c>
      <c r="G354" s="3" t="n">
        <v>9</v>
      </c>
      <c r="H354" s="4" t="n">
        <v>14000</v>
      </c>
      <c r="I354" s="4" t="n">
        <v>126000</v>
      </c>
      <c r="J354" s="4" t="n">
        <v>88829</v>
      </c>
      <c r="K354" s="4" t="n">
        <v>37171</v>
      </c>
    </row>
    <row r="355">
      <c r="A355" t="inlineStr">
        <is>
          <t>ORD-1354</t>
        </is>
      </c>
      <c r="B355" s="2" t="n">
        <v>45997</v>
      </c>
      <c r="C355" t="inlineStr">
        <is>
          <t>South</t>
        </is>
      </c>
      <c r="D355" t="inlineStr">
        <is>
          <t>Divya Menon</t>
        </is>
      </c>
      <c r="E355" t="inlineStr">
        <is>
          <t>Headphones</t>
        </is>
      </c>
      <c r="F355" t="inlineStr">
        <is>
          <t>Accessories</t>
        </is>
      </c>
      <c r="G355" s="3" t="n">
        <v>4</v>
      </c>
      <c r="H355" s="4" t="n">
        <v>3500</v>
      </c>
      <c r="I355" s="4" t="n">
        <v>14000</v>
      </c>
      <c r="J355" s="4" t="n">
        <v>9270</v>
      </c>
      <c r="K355" s="4" t="n">
        <v>4730</v>
      </c>
    </row>
    <row r="356">
      <c r="A356" t="inlineStr">
        <is>
          <t>ORD-1355</t>
        </is>
      </c>
      <c r="B356" s="2" t="n">
        <v>45930</v>
      </c>
      <c r="C356" t="inlineStr">
        <is>
          <t>West</t>
        </is>
      </c>
      <c r="D356" t="inlineStr">
        <is>
          <t>Kavita Patil</t>
        </is>
      </c>
      <c r="E356" t="inlineStr">
        <is>
          <t>Tablet</t>
        </is>
      </c>
      <c r="F356" t="inlineStr">
        <is>
          <t>Electronics</t>
        </is>
      </c>
      <c r="G356" s="3" t="n">
        <v>3</v>
      </c>
      <c r="H356" s="4" t="n">
        <v>18000</v>
      </c>
      <c r="I356" s="4" t="n">
        <v>54000</v>
      </c>
      <c r="J356" s="4" t="n">
        <v>34664</v>
      </c>
      <c r="K356" s="4" t="n">
        <v>19336</v>
      </c>
    </row>
    <row r="357">
      <c r="A357" t="inlineStr">
        <is>
          <t>ORD-1356</t>
        </is>
      </c>
      <c r="B357" s="2" t="n">
        <v>46012</v>
      </c>
      <c r="C357" t="inlineStr">
        <is>
          <t>East</t>
        </is>
      </c>
      <c r="D357" t="inlineStr">
        <is>
          <t>Anita Roy</t>
        </is>
      </c>
      <c r="E357" t="inlineStr">
        <is>
          <t>Keyboard</t>
        </is>
      </c>
      <c r="F357" t="inlineStr">
        <is>
          <t>Accessories</t>
        </is>
      </c>
      <c r="G357" s="3" t="n">
        <v>12</v>
      </c>
      <c r="H357" s="4" t="n">
        <v>2500</v>
      </c>
      <c r="I357" s="4" t="n">
        <v>30000</v>
      </c>
      <c r="J357" s="4" t="n">
        <v>20584</v>
      </c>
      <c r="K357" s="4" t="n">
        <v>9416</v>
      </c>
    </row>
    <row r="358">
      <c r="A358" t="inlineStr">
        <is>
          <t>ORD-1357</t>
        </is>
      </c>
      <c r="B358" s="2" t="n">
        <v>45810</v>
      </c>
      <c r="C358" t="inlineStr">
        <is>
          <t>West</t>
        </is>
      </c>
      <c r="D358" t="inlineStr">
        <is>
          <t>Vikram Mehta</t>
        </is>
      </c>
      <c r="E358" t="inlineStr">
        <is>
          <t>Smartphone</t>
        </is>
      </c>
      <c r="F358" t="inlineStr">
        <is>
          <t>Electronics</t>
        </is>
      </c>
      <c r="G358" s="3" t="n">
        <v>4</v>
      </c>
      <c r="H358" s="4" t="n">
        <v>22000</v>
      </c>
      <c r="I358" s="4" t="n">
        <v>88000</v>
      </c>
      <c r="J358" s="4" t="n">
        <v>53311</v>
      </c>
      <c r="K358" s="4" t="n">
        <v>34689</v>
      </c>
    </row>
    <row r="359">
      <c r="A359" t="inlineStr">
        <is>
          <t>ORD-1358</t>
        </is>
      </c>
      <c r="B359" s="2" t="n">
        <v>46018</v>
      </c>
      <c r="C359" t="inlineStr">
        <is>
          <t>East</t>
        </is>
      </c>
      <c r="D359" t="inlineStr">
        <is>
          <t>Anita Roy</t>
        </is>
      </c>
      <c r="E359" t="inlineStr">
        <is>
          <t>Tablet</t>
        </is>
      </c>
      <c r="F359" t="inlineStr">
        <is>
          <t>Electronics</t>
        </is>
      </c>
      <c r="G359" s="3" t="n">
        <v>12</v>
      </c>
      <c r="H359" s="4" t="n">
        <v>18000</v>
      </c>
      <c r="I359" s="4" t="n">
        <v>216000</v>
      </c>
      <c r="J359" s="4" t="n">
        <v>127754</v>
      </c>
      <c r="K359" s="4" t="n">
        <v>88246</v>
      </c>
    </row>
    <row r="360">
      <c r="A360" t="inlineStr">
        <is>
          <t>ORD-1359</t>
        </is>
      </c>
      <c r="B360" s="2" t="n">
        <v>45798</v>
      </c>
      <c r="C360" t="inlineStr">
        <is>
          <t>East</t>
        </is>
      </c>
      <c r="D360" t="inlineStr">
        <is>
          <t>Anita Roy</t>
        </is>
      </c>
      <c r="E360" t="inlineStr">
        <is>
          <t>Monitor</t>
        </is>
      </c>
      <c r="F360" t="inlineStr">
        <is>
          <t>Electronics</t>
        </is>
      </c>
      <c r="G360" s="3" t="n">
        <v>6</v>
      </c>
      <c r="H360" s="4" t="n">
        <v>14000</v>
      </c>
      <c r="I360" s="4" t="n">
        <v>84000</v>
      </c>
      <c r="J360" s="4" t="n">
        <v>55616</v>
      </c>
      <c r="K360" s="4" t="n">
        <v>28384</v>
      </c>
    </row>
    <row r="361">
      <c r="A361" t="inlineStr">
        <is>
          <t>ORD-1360</t>
        </is>
      </c>
      <c r="B361" s="2" t="n">
        <v>45860</v>
      </c>
      <c r="C361" t="inlineStr">
        <is>
          <t>North</t>
        </is>
      </c>
      <c r="D361" t="inlineStr">
        <is>
          <t>Priya Verma</t>
        </is>
      </c>
      <c r="E361" t="inlineStr">
        <is>
          <t>Headphones</t>
        </is>
      </c>
      <c r="F361" t="inlineStr">
        <is>
          <t>Accessories</t>
        </is>
      </c>
      <c r="G361" s="3" t="n">
        <v>11</v>
      </c>
      <c r="H361" s="4" t="n">
        <v>3500</v>
      </c>
      <c r="I361" s="4" t="n">
        <v>38500</v>
      </c>
      <c r="J361" s="4" t="n">
        <v>25358</v>
      </c>
      <c r="K361" s="4" t="n">
        <v>13142</v>
      </c>
    </row>
    <row r="362">
      <c r="A362" t="inlineStr">
        <is>
          <t>ORD-1361</t>
        </is>
      </c>
      <c r="B362" s="2" t="n">
        <v>45698</v>
      </c>
      <c r="C362" t="inlineStr">
        <is>
          <t>South</t>
        </is>
      </c>
      <c r="D362" t="inlineStr">
        <is>
          <t>Divya Menon</t>
        </is>
      </c>
      <c r="E362" t="inlineStr">
        <is>
          <t>Tablet</t>
        </is>
      </c>
      <c r="F362" t="inlineStr">
        <is>
          <t>Electronics</t>
        </is>
      </c>
      <c r="G362" s="3" t="n">
        <v>1</v>
      </c>
      <c r="H362" s="4" t="n">
        <v>18000</v>
      </c>
      <c r="I362" s="4" t="n">
        <v>18000</v>
      </c>
      <c r="J362" s="4" t="n">
        <v>10935</v>
      </c>
      <c r="K362" s="4" t="n">
        <v>7065</v>
      </c>
    </row>
    <row r="363">
      <c r="A363" t="inlineStr">
        <is>
          <t>ORD-1362</t>
        </is>
      </c>
      <c r="B363" s="2" t="n">
        <v>45767</v>
      </c>
      <c r="C363" t="inlineStr">
        <is>
          <t>West</t>
        </is>
      </c>
      <c r="D363" t="inlineStr">
        <is>
          <t>Vikram Mehta</t>
        </is>
      </c>
      <c r="E363" t="inlineStr">
        <is>
          <t>Keyboard</t>
        </is>
      </c>
      <c r="F363" t="inlineStr">
        <is>
          <t>Accessories</t>
        </is>
      </c>
      <c r="G363" s="3" t="n">
        <v>5</v>
      </c>
      <c r="H363" s="4" t="n">
        <v>2500</v>
      </c>
      <c r="I363" s="4" t="n">
        <v>12500</v>
      </c>
      <c r="J363" s="4" t="n">
        <v>8743</v>
      </c>
      <c r="K363" s="4" t="n">
        <v>3757</v>
      </c>
    </row>
    <row r="364">
      <c r="A364" t="inlineStr">
        <is>
          <t>ORD-1363</t>
        </is>
      </c>
      <c r="B364" s="2" t="n">
        <v>45713</v>
      </c>
      <c r="C364" t="inlineStr">
        <is>
          <t>East</t>
        </is>
      </c>
      <c r="D364" t="inlineStr">
        <is>
          <t>Sourav Das</t>
        </is>
      </c>
      <c r="E364" t="inlineStr">
        <is>
          <t>Headphones</t>
        </is>
      </c>
      <c r="F364" t="inlineStr">
        <is>
          <t>Accessories</t>
        </is>
      </c>
      <c r="G364" s="3" t="n">
        <v>12</v>
      </c>
      <c r="H364" s="4" t="n">
        <v>3500</v>
      </c>
      <c r="I364" s="4" t="n">
        <v>42000</v>
      </c>
      <c r="J364" s="4" t="n">
        <v>25382</v>
      </c>
      <c r="K364" s="4" t="n">
        <v>16618</v>
      </c>
    </row>
    <row r="365">
      <c r="A365" t="inlineStr">
        <is>
          <t>ORD-1364</t>
        </is>
      </c>
      <c r="B365" s="2" t="n">
        <v>45773</v>
      </c>
      <c r="C365" t="inlineStr">
        <is>
          <t>South</t>
        </is>
      </c>
      <c r="D365" t="inlineStr">
        <is>
          <t>Ravi Nair</t>
        </is>
      </c>
      <c r="E365" t="inlineStr">
        <is>
          <t>Laptop</t>
        </is>
      </c>
      <c r="F365" t="inlineStr">
        <is>
          <t>Electronics</t>
        </is>
      </c>
      <c r="G365" s="3" t="n">
        <v>11</v>
      </c>
      <c r="H365" s="4" t="n">
        <v>55000</v>
      </c>
      <c r="I365" s="4" t="n">
        <v>605000</v>
      </c>
      <c r="J365" s="4" t="n">
        <v>442277</v>
      </c>
      <c r="K365" s="4" t="n">
        <v>162723</v>
      </c>
    </row>
    <row r="366">
      <c r="A366" t="inlineStr">
        <is>
          <t>ORD-1365</t>
        </is>
      </c>
      <c r="B366" s="2" t="n">
        <v>45899</v>
      </c>
      <c r="C366" t="inlineStr">
        <is>
          <t>North</t>
        </is>
      </c>
      <c r="D366" t="inlineStr">
        <is>
          <t>Amit Sharma</t>
        </is>
      </c>
      <c r="E366" t="inlineStr">
        <is>
          <t>Laptop</t>
        </is>
      </c>
      <c r="F366" t="inlineStr">
        <is>
          <t>Electronics</t>
        </is>
      </c>
      <c r="G366" s="3" t="n">
        <v>7</v>
      </c>
      <c r="H366" s="4" t="n">
        <v>55000</v>
      </c>
      <c r="I366" s="4" t="n">
        <v>385000</v>
      </c>
      <c r="J366" s="4" t="n">
        <v>237183</v>
      </c>
      <c r="K366" s="4" t="n">
        <v>147817</v>
      </c>
    </row>
    <row r="367">
      <c r="A367" t="inlineStr">
        <is>
          <t>ORD-1366</t>
        </is>
      </c>
      <c r="B367" s="2" t="n">
        <v>45738</v>
      </c>
      <c r="C367" t="inlineStr">
        <is>
          <t>South</t>
        </is>
      </c>
      <c r="D367" t="inlineStr">
        <is>
          <t>Divya Menon</t>
        </is>
      </c>
      <c r="E367" t="inlineStr">
        <is>
          <t>Laptop</t>
        </is>
      </c>
      <c r="F367" t="inlineStr">
        <is>
          <t>Electronics</t>
        </is>
      </c>
      <c r="G367" s="3" t="n">
        <v>9</v>
      </c>
      <c r="H367" s="4" t="n">
        <v>55000</v>
      </c>
      <c r="I367" s="4" t="n">
        <v>495000</v>
      </c>
      <c r="J367" s="4" t="n">
        <v>369063</v>
      </c>
      <c r="K367" s="4" t="n">
        <v>125937</v>
      </c>
    </row>
    <row r="368">
      <c r="A368" t="inlineStr">
        <is>
          <t>ORD-1367</t>
        </is>
      </c>
      <c r="B368" s="2" t="n">
        <v>45805</v>
      </c>
      <c r="C368" t="inlineStr">
        <is>
          <t>West</t>
        </is>
      </c>
      <c r="D368" t="inlineStr">
        <is>
          <t>Kavita Patil</t>
        </is>
      </c>
      <c r="E368" t="inlineStr">
        <is>
          <t>Monitor</t>
        </is>
      </c>
      <c r="F368" t="inlineStr">
        <is>
          <t>Electronics</t>
        </is>
      </c>
      <c r="G368" s="3" t="n">
        <v>11</v>
      </c>
      <c r="H368" s="4" t="n">
        <v>14000</v>
      </c>
      <c r="I368" s="4" t="n">
        <v>154000</v>
      </c>
      <c r="J368" s="4" t="n">
        <v>90843</v>
      </c>
      <c r="K368" s="4" t="n">
        <v>63157</v>
      </c>
    </row>
    <row r="369">
      <c r="A369" t="inlineStr">
        <is>
          <t>ORD-1368</t>
        </is>
      </c>
      <c r="B369" s="2" t="n">
        <v>45703</v>
      </c>
      <c r="C369" t="inlineStr">
        <is>
          <t>East</t>
        </is>
      </c>
      <c r="D369" t="inlineStr">
        <is>
          <t>Sourav Das</t>
        </is>
      </c>
      <c r="E369" t="inlineStr">
        <is>
          <t>Keyboard</t>
        </is>
      </c>
      <c r="F369" t="inlineStr">
        <is>
          <t>Accessories</t>
        </is>
      </c>
      <c r="G369" s="3" t="n">
        <v>1</v>
      </c>
      <c r="H369" s="4" t="n">
        <v>2500</v>
      </c>
      <c r="I369" s="4" t="n">
        <v>2500</v>
      </c>
      <c r="J369" s="4" t="n">
        <v>1829</v>
      </c>
      <c r="K369" s="4" t="n">
        <v>671</v>
      </c>
    </row>
    <row r="370">
      <c r="A370" t="inlineStr">
        <is>
          <t>ORD-1369</t>
        </is>
      </c>
      <c r="B370" s="2" t="n">
        <v>45748</v>
      </c>
      <c r="C370" t="inlineStr">
        <is>
          <t>North</t>
        </is>
      </c>
      <c r="D370" t="inlineStr">
        <is>
          <t>Amit Sharma</t>
        </is>
      </c>
      <c r="E370" t="inlineStr">
        <is>
          <t>Smartphone</t>
        </is>
      </c>
      <c r="F370" t="inlineStr">
        <is>
          <t>Electronics</t>
        </is>
      </c>
      <c r="G370" s="3" t="n">
        <v>7</v>
      </c>
      <c r="H370" s="4" t="n">
        <v>22000</v>
      </c>
      <c r="I370" s="4" t="n">
        <v>154000</v>
      </c>
      <c r="J370" s="4" t="n">
        <v>111873</v>
      </c>
      <c r="K370" s="4" t="n">
        <v>42127</v>
      </c>
    </row>
    <row r="371">
      <c r="A371" t="inlineStr">
        <is>
          <t>ORD-1370</t>
        </is>
      </c>
      <c r="B371" s="2" t="n">
        <v>45806</v>
      </c>
      <c r="C371" t="inlineStr">
        <is>
          <t>West</t>
        </is>
      </c>
      <c r="D371" t="inlineStr">
        <is>
          <t>Vikram Mehta</t>
        </is>
      </c>
      <c r="E371" t="inlineStr">
        <is>
          <t>Monitor</t>
        </is>
      </c>
      <c r="F371" t="inlineStr">
        <is>
          <t>Electronics</t>
        </is>
      </c>
      <c r="G371" s="3" t="n">
        <v>3</v>
      </c>
      <c r="H371" s="4" t="n">
        <v>14000</v>
      </c>
      <c r="I371" s="4" t="n">
        <v>42000</v>
      </c>
      <c r="J371" s="4" t="n">
        <v>30968</v>
      </c>
      <c r="K371" s="4" t="n">
        <v>11032</v>
      </c>
    </row>
    <row r="372">
      <c r="A372" t="inlineStr">
        <is>
          <t>ORD-1371</t>
        </is>
      </c>
      <c r="B372" s="2" t="n">
        <v>45829</v>
      </c>
      <c r="C372" t="inlineStr">
        <is>
          <t>North</t>
        </is>
      </c>
      <c r="D372" t="inlineStr">
        <is>
          <t>Priya Verma</t>
        </is>
      </c>
      <c r="E372" t="inlineStr">
        <is>
          <t>Tablet</t>
        </is>
      </c>
      <c r="F372" t="inlineStr">
        <is>
          <t>Electronics</t>
        </is>
      </c>
      <c r="G372" s="3" t="n">
        <v>10</v>
      </c>
      <c r="H372" s="4" t="n">
        <v>18000</v>
      </c>
      <c r="I372" s="4" t="n">
        <v>180000</v>
      </c>
      <c r="J372" s="4" t="n">
        <v>120700</v>
      </c>
      <c r="K372" s="4" t="n">
        <v>59300</v>
      </c>
    </row>
    <row r="373">
      <c r="A373" t="inlineStr">
        <is>
          <t>ORD-1372</t>
        </is>
      </c>
      <c r="B373" s="2" t="n">
        <v>45726</v>
      </c>
      <c r="C373" t="inlineStr">
        <is>
          <t>West</t>
        </is>
      </c>
      <c r="D373" t="inlineStr">
        <is>
          <t>Kavita Patil</t>
        </is>
      </c>
      <c r="E373" t="inlineStr">
        <is>
          <t>Keyboard</t>
        </is>
      </c>
      <c r="F373" t="inlineStr">
        <is>
          <t>Accessories</t>
        </is>
      </c>
      <c r="G373" s="3" t="n">
        <v>9</v>
      </c>
      <c r="H373" s="4" t="n">
        <v>2500</v>
      </c>
      <c r="I373" s="4" t="n">
        <v>22500</v>
      </c>
      <c r="J373" s="4" t="n">
        <v>14734</v>
      </c>
      <c r="K373" s="4" t="n">
        <v>7766</v>
      </c>
    </row>
    <row r="374">
      <c r="A374" t="inlineStr">
        <is>
          <t>ORD-1373</t>
        </is>
      </c>
      <c r="B374" s="2" t="n">
        <v>45892</v>
      </c>
      <c r="C374" t="inlineStr">
        <is>
          <t>East</t>
        </is>
      </c>
      <c r="D374" t="inlineStr">
        <is>
          <t>Anita Roy</t>
        </is>
      </c>
      <c r="E374" t="inlineStr">
        <is>
          <t>Smartphone</t>
        </is>
      </c>
      <c r="F374" t="inlineStr">
        <is>
          <t>Electronics</t>
        </is>
      </c>
      <c r="G374" s="3" t="n">
        <v>2</v>
      </c>
      <c r="H374" s="4" t="n">
        <v>22000</v>
      </c>
      <c r="I374" s="4" t="n">
        <v>44000</v>
      </c>
      <c r="J374" s="4" t="n">
        <v>27110</v>
      </c>
      <c r="K374" s="4" t="n">
        <v>16890</v>
      </c>
    </row>
    <row r="375">
      <c r="A375" t="inlineStr">
        <is>
          <t>ORD-1374</t>
        </is>
      </c>
      <c r="B375" s="2" t="n">
        <v>45809</v>
      </c>
      <c r="C375" t="inlineStr">
        <is>
          <t>South</t>
        </is>
      </c>
      <c r="D375" t="inlineStr">
        <is>
          <t>Ravi Nair</t>
        </is>
      </c>
      <c r="E375" t="inlineStr">
        <is>
          <t>Laptop</t>
        </is>
      </c>
      <c r="F375" t="inlineStr">
        <is>
          <t>Electronics</t>
        </is>
      </c>
      <c r="G375" s="3" t="n">
        <v>12</v>
      </c>
      <c r="H375" s="4" t="n">
        <v>55000</v>
      </c>
      <c r="I375" s="4" t="n">
        <v>660000</v>
      </c>
      <c r="J375" s="4" t="n">
        <v>407499</v>
      </c>
      <c r="K375" s="4" t="n">
        <v>252501</v>
      </c>
    </row>
    <row r="376">
      <c r="A376" t="inlineStr">
        <is>
          <t>ORD-1375</t>
        </is>
      </c>
      <c r="B376" s="2" t="n">
        <v>45876</v>
      </c>
      <c r="C376" t="inlineStr">
        <is>
          <t>South</t>
        </is>
      </c>
      <c r="D376" t="inlineStr">
        <is>
          <t>Divya Menon</t>
        </is>
      </c>
      <c r="E376" t="inlineStr">
        <is>
          <t>Headphones</t>
        </is>
      </c>
      <c r="F376" t="inlineStr">
        <is>
          <t>Accessories</t>
        </is>
      </c>
      <c r="G376" s="3" t="n">
        <v>11</v>
      </c>
      <c r="H376" s="4" t="n">
        <v>3500</v>
      </c>
      <c r="I376" s="4" t="n">
        <v>38500</v>
      </c>
      <c r="J376" s="4" t="n">
        <v>28082</v>
      </c>
      <c r="K376" s="4" t="n">
        <v>10418</v>
      </c>
    </row>
    <row r="377">
      <c r="A377" t="inlineStr">
        <is>
          <t>ORD-1376</t>
        </is>
      </c>
      <c r="B377" s="2" t="n">
        <v>45729</v>
      </c>
      <c r="C377" t="inlineStr">
        <is>
          <t>North</t>
        </is>
      </c>
      <c r="D377" t="inlineStr">
        <is>
          <t>Priya Verma</t>
        </is>
      </c>
      <c r="E377" t="inlineStr">
        <is>
          <t>Monitor</t>
        </is>
      </c>
      <c r="F377" t="inlineStr">
        <is>
          <t>Electronics</t>
        </is>
      </c>
      <c r="G377" s="3" t="n">
        <v>11</v>
      </c>
      <c r="H377" s="4" t="n">
        <v>14000</v>
      </c>
      <c r="I377" s="4" t="n">
        <v>154000</v>
      </c>
      <c r="J377" s="4" t="n">
        <v>87638</v>
      </c>
      <c r="K377" s="4" t="n">
        <v>66362</v>
      </c>
    </row>
    <row r="378">
      <c r="A378" t="inlineStr">
        <is>
          <t>ORD-1377</t>
        </is>
      </c>
      <c r="B378" s="2" t="n">
        <v>45778</v>
      </c>
      <c r="C378" t="inlineStr">
        <is>
          <t>East</t>
        </is>
      </c>
      <c r="D378" t="inlineStr">
        <is>
          <t>Anita Roy</t>
        </is>
      </c>
      <c r="E378" t="inlineStr">
        <is>
          <t>Smartphone</t>
        </is>
      </c>
      <c r="F378" t="inlineStr">
        <is>
          <t>Electronics</t>
        </is>
      </c>
      <c r="G378" s="3" t="n">
        <v>1</v>
      </c>
      <c r="H378" s="4" t="n">
        <v>22000</v>
      </c>
      <c r="I378" s="4" t="n">
        <v>22000</v>
      </c>
      <c r="J378" s="4" t="n">
        <v>13247</v>
      </c>
      <c r="K378" s="4" t="n">
        <v>8753</v>
      </c>
    </row>
    <row r="379">
      <c r="A379" t="inlineStr">
        <is>
          <t>ORD-1378</t>
        </is>
      </c>
      <c r="B379" s="2" t="n">
        <v>45951</v>
      </c>
      <c r="C379" t="inlineStr">
        <is>
          <t>East</t>
        </is>
      </c>
      <c r="D379" t="inlineStr">
        <is>
          <t>Sourav Das</t>
        </is>
      </c>
      <c r="E379" t="inlineStr">
        <is>
          <t>Tablet</t>
        </is>
      </c>
      <c r="F379" t="inlineStr">
        <is>
          <t>Electronics</t>
        </is>
      </c>
      <c r="G379" s="3" t="n">
        <v>5</v>
      </c>
      <c r="H379" s="4" t="n">
        <v>18000</v>
      </c>
      <c r="I379" s="4" t="n">
        <v>90000</v>
      </c>
      <c r="J379" s="4" t="n">
        <v>59984</v>
      </c>
      <c r="K379" s="4" t="n">
        <v>30016</v>
      </c>
    </row>
    <row r="380">
      <c r="A380" t="inlineStr">
        <is>
          <t>ORD-1379</t>
        </is>
      </c>
      <c r="B380" s="2" t="n">
        <v>45689</v>
      </c>
      <c r="C380" t="inlineStr">
        <is>
          <t>East</t>
        </is>
      </c>
      <c r="D380" t="inlineStr">
        <is>
          <t>Sourav Das</t>
        </is>
      </c>
      <c r="E380" t="inlineStr">
        <is>
          <t>Keyboard</t>
        </is>
      </c>
      <c r="F380" t="inlineStr">
        <is>
          <t>Accessories</t>
        </is>
      </c>
      <c r="G380" s="3" t="n">
        <v>6</v>
      </c>
      <c r="H380" s="4" t="n">
        <v>2500</v>
      </c>
      <c r="I380" s="4" t="n">
        <v>15000</v>
      </c>
      <c r="J380" s="4" t="n">
        <v>10328</v>
      </c>
      <c r="K380" s="4" t="n">
        <v>4672</v>
      </c>
    </row>
    <row r="381">
      <c r="A381" t="inlineStr">
        <is>
          <t>ORD-1380</t>
        </is>
      </c>
      <c r="B381" s="2" t="n">
        <v>45915</v>
      </c>
      <c r="C381" t="inlineStr">
        <is>
          <t>West</t>
        </is>
      </c>
      <c r="D381" t="inlineStr">
        <is>
          <t>Kavita Patil</t>
        </is>
      </c>
      <c r="E381" t="inlineStr">
        <is>
          <t>Tablet</t>
        </is>
      </c>
      <c r="F381" t="inlineStr">
        <is>
          <t>Electronics</t>
        </is>
      </c>
      <c r="G381" s="3" t="n">
        <v>3</v>
      </c>
      <c r="H381" s="4" t="n">
        <v>18000</v>
      </c>
      <c r="I381" s="4" t="n">
        <v>54000</v>
      </c>
      <c r="J381" s="4" t="n">
        <v>34078</v>
      </c>
      <c r="K381" s="4" t="n">
        <v>19922</v>
      </c>
    </row>
    <row r="382">
      <c r="A382" t="inlineStr">
        <is>
          <t>ORD-1381</t>
        </is>
      </c>
      <c r="B382" s="2" t="n">
        <v>45771</v>
      </c>
      <c r="C382" t="inlineStr">
        <is>
          <t>North</t>
        </is>
      </c>
      <c r="D382" t="inlineStr">
        <is>
          <t>Amit Sharma</t>
        </is>
      </c>
      <c r="E382" t="inlineStr">
        <is>
          <t>Keyboard</t>
        </is>
      </c>
      <c r="F382" t="inlineStr">
        <is>
          <t>Accessories</t>
        </is>
      </c>
      <c r="G382" s="3" t="n">
        <v>5</v>
      </c>
      <c r="H382" s="4" t="n">
        <v>2500</v>
      </c>
      <c r="I382" s="4" t="n">
        <v>12500</v>
      </c>
      <c r="J382" s="4" t="n">
        <v>7794</v>
      </c>
      <c r="K382" s="4" t="n">
        <v>4706</v>
      </c>
    </row>
    <row r="383">
      <c r="A383" t="inlineStr">
        <is>
          <t>ORD-1382</t>
        </is>
      </c>
      <c r="B383" s="2" t="n">
        <v>45968</v>
      </c>
      <c r="C383" t="inlineStr">
        <is>
          <t>South</t>
        </is>
      </c>
      <c r="D383" t="inlineStr">
        <is>
          <t>Divya Menon</t>
        </is>
      </c>
      <c r="E383" t="inlineStr">
        <is>
          <t>Monitor</t>
        </is>
      </c>
      <c r="F383" t="inlineStr">
        <is>
          <t>Electronics</t>
        </is>
      </c>
      <c r="G383" s="3" t="n">
        <v>3</v>
      </c>
      <c r="H383" s="4" t="n">
        <v>14000</v>
      </c>
      <c r="I383" s="4" t="n">
        <v>42000</v>
      </c>
      <c r="J383" s="4" t="n">
        <v>26922</v>
      </c>
      <c r="K383" s="4" t="n">
        <v>15078</v>
      </c>
    </row>
    <row r="384">
      <c r="A384" t="inlineStr">
        <is>
          <t>ORD-1383</t>
        </is>
      </c>
      <c r="B384" s="2" t="n">
        <v>45933</v>
      </c>
      <c r="C384" t="inlineStr">
        <is>
          <t>West</t>
        </is>
      </c>
      <c r="D384" t="inlineStr">
        <is>
          <t>Vikram Mehta</t>
        </is>
      </c>
      <c r="E384" t="inlineStr">
        <is>
          <t>Keyboard</t>
        </is>
      </c>
      <c r="F384" t="inlineStr">
        <is>
          <t>Accessories</t>
        </is>
      </c>
      <c r="G384" s="3" t="n">
        <v>9</v>
      </c>
      <c r="H384" s="4" t="n">
        <v>2500</v>
      </c>
      <c r="I384" s="4" t="n">
        <v>22500</v>
      </c>
      <c r="J384" s="4" t="n">
        <v>16483</v>
      </c>
      <c r="K384" s="4" t="n">
        <v>6017</v>
      </c>
    </row>
    <row r="385">
      <c r="A385" t="inlineStr">
        <is>
          <t>ORD-1384</t>
        </is>
      </c>
      <c r="B385" s="2" t="n">
        <v>45699</v>
      </c>
      <c r="C385" t="inlineStr">
        <is>
          <t>South</t>
        </is>
      </c>
      <c r="D385" t="inlineStr">
        <is>
          <t>Divya Menon</t>
        </is>
      </c>
      <c r="E385" t="inlineStr">
        <is>
          <t>Keyboard</t>
        </is>
      </c>
      <c r="F385" t="inlineStr">
        <is>
          <t>Accessories</t>
        </is>
      </c>
      <c r="G385" s="3" t="n">
        <v>10</v>
      </c>
      <c r="H385" s="4" t="n">
        <v>2500</v>
      </c>
      <c r="I385" s="4" t="n">
        <v>25000</v>
      </c>
      <c r="J385" s="4" t="n">
        <v>18116</v>
      </c>
      <c r="K385" s="4" t="n">
        <v>6884</v>
      </c>
    </row>
    <row r="386">
      <c r="A386" t="inlineStr">
        <is>
          <t>ORD-1385</t>
        </is>
      </c>
      <c r="B386" s="2" t="n">
        <v>45938</v>
      </c>
      <c r="C386" t="inlineStr">
        <is>
          <t>East</t>
        </is>
      </c>
      <c r="D386" t="inlineStr">
        <is>
          <t>Sourav Das</t>
        </is>
      </c>
      <c r="E386" t="inlineStr">
        <is>
          <t>Laptop</t>
        </is>
      </c>
      <c r="F386" t="inlineStr">
        <is>
          <t>Electronics</t>
        </is>
      </c>
      <c r="G386" s="3" t="n">
        <v>10</v>
      </c>
      <c r="H386" s="4" t="n">
        <v>55000</v>
      </c>
      <c r="I386" s="4" t="n">
        <v>550000</v>
      </c>
      <c r="J386" s="4" t="n">
        <v>314843</v>
      </c>
      <c r="K386" s="4" t="n">
        <v>235157</v>
      </c>
    </row>
    <row r="387">
      <c r="A387" t="inlineStr">
        <is>
          <t>ORD-1386</t>
        </is>
      </c>
      <c r="B387" s="2" t="n">
        <v>45884</v>
      </c>
      <c r="C387" t="inlineStr">
        <is>
          <t>South</t>
        </is>
      </c>
      <c r="D387" t="inlineStr">
        <is>
          <t>Ravi Nair</t>
        </is>
      </c>
      <c r="E387" t="inlineStr">
        <is>
          <t>Smartphone</t>
        </is>
      </c>
      <c r="F387" t="inlineStr">
        <is>
          <t>Electronics</t>
        </is>
      </c>
      <c r="G387" s="3" t="n">
        <v>6</v>
      </c>
      <c r="H387" s="4" t="n">
        <v>22000</v>
      </c>
      <c r="I387" s="4" t="n">
        <v>132000</v>
      </c>
      <c r="J387" s="4" t="n">
        <v>95158</v>
      </c>
      <c r="K387" s="4" t="n">
        <v>36842</v>
      </c>
    </row>
    <row r="388">
      <c r="A388" t="inlineStr">
        <is>
          <t>ORD-1387</t>
        </is>
      </c>
      <c r="B388" s="2" t="n">
        <v>45919</v>
      </c>
      <c r="C388" t="inlineStr">
        <is>
          <t>South</t>
        </is>
      </c>
      <c r="D388" t="inlineStr">
        <is>
          <t>Divya Menon</t>
        </is>
      </c>
      <c r="E388" t="inlineStr">
        <is>
          <t>Keyboard</t>
        </is>
      </c>
      <c r="F388" t="inlineStr">
        <is>
          <t>Accessories</t>
        </is>
      </c>
      <c r="G388" s="3" t="n">
        <v>10</v>
      </c>
      <c r="H388" s="4" t="n">
        <v>2500</v>
      </c>
      <c r="I388" s="4" t="n">
        <v>25000</v>
      </c>
      <c r="J388" s="4" t="n">
        <v>16194</v>
      </c>
      <c r="K388" s="4" t="n">
        <v>8806</v>
      </c>
    </row>
    <row r="389">
      <c r="A389" t="inlineStr">
        <is>
          <t>ORD-1388</t>
        </is>
      </c>
      <c r="B389" s="2" t="n">
        <v>45891</v>
      </c>
      <c r="C389" t="inlineStr">
        <is>
          <t>North</t>
        </is>
      </c>
      <c r="D389" t="inlineStr">
        <is>
          <t>Amit Sharma</t>
        </is>
      </c>
      <c r="E389" t="inlineStr">
        <is>
          <t>Monitor</t>
        </is>
      </c>
      <c r="F389" t="inlineStr">
        <is>
          <t>Electronics</t>
        </is>
      </c>
      <c r="G389" s="3" t="n">
        <v>3</v>
      </c>
      <c r="H389" s="4" t="n">
        <v>14000</v>
      </c>
      <c r="I389" s="4" t="n">
        <v>42000</v>
      </c>
      <c r="J389" s="4" t="n">
        <v>27411</v>
      </c>
      <c r="K389" s="4" t="n">
        <v>14589</v>
      </c>
    </row>
    <row r="390">
      <c r="A390" t="inlineStr">
        <is>
          <t>ORD-1389</t>
        </is>
      </c>
      <c r="B390" s="2" t="n">
        <v>45860</v>
      </c>
      <c r="C390" t="inlineStr">
        <is>
          <t>West</t>
        </is>
      </c>
      <c r="D390" t="inlineStr">
        <is>
          <t>Kavita Patil</t>
        </is>
      </c>
      <c r="E390" t="inlineStr">
        <is>
          <t>Keyboard</t>
        </is>
      </c>
      <c r="F390" t="inlineStr">
        <is>
          <t>Accessories</t>
        </is>
      </c>
      <c r="G390" s="3" t="n">
        <v>5</v>
      </c>
      <c r="H390" s="4" t="n">
        <v>2500</v>
      </c>
      <c r="I390" s="4" t="n">
        <v>12500</v>
      </c>
      <c r="J390" s="4" t="n">
        <v>8683</v>
      </c>
      <c r="K390" s="4" t="n">
        <v>3817</v>
      </c>
    </row>
    <row r="391">
      <c r="A391" t="inlineStr">
        <is>
          <t>ORD-1390</t>
        </is>
      </c>
      <c r="B391" s="2" t="n">
        <v>45681</v>
      </c>
      <c r="C391" t="inlineStr">
        <is>
          <t>North</t>
        </is>
      </c>
      <c r="D391" t="inlineStr">
        <is>
          <t>Priya Verma</t>
        </is>
      </c>
      <c r="E391" t="inlineStr">
        <is>
          <t>Keyboard</t>
        </is>
      </c>
      <c r="F391" t="inlineStr">
        <is>
          <t>Accessories</t>
        </is>
      </c>
      <c r="G391" s="3" t="n">
        <v>4</v>
      </c>
      <c r="H391" s="4" t="n">
        <v>2500</v>
      </c>
      <c r="I391" s="4" t="n">
        <v>10000</v>
      </c>
      <c r="J391" s="4" t="n">
        <v>6657</v>
      </c>
      <c r="K391" s="4" t="n">
        <v>3343</v>
      </c>
    </row>
    <row r="392">
      <c r="A392" t="inlineStr">
        <is>
          <t>ORD-1391</t>
        </is>
      </c>
      <c r="B392" s="2" t="n">
        <v>45688</v>
      </c>
      <c r="C392" t="inlineStr">
        <is>
          <t>East</t>
        </is>
      </c>
      <c r="D392" t="inlineStr">
        <is>
          <t>Sourav Das</t>
        </is>
      </c>
      <c r="E392" t="inlineStr">
        <is>
          <t>Keyboard</t>
        </is>
      </c>
      <c r="F392" t="inlineStr">
        <is>
          <t>Accessories</t>
        </is>
      </c>
      <c r="G392" s="3" t="n">
        <v>2</v>
      </c>
      <c r="H392" s="4" t="n">
        <v>2500</v>
      </c>
      <c r="I392" s="4" t="n">
        <v>5000</v>
      </c>
      <c r="J392" s="4" t="n">
        <v>3291</v>
      </c>
      <c r="K392" s="4" t="n">
        <v>1709</v>
      </c>
    </row>
    <row r="393">
      <c r="A393" t="inlineStr">
        <is>
          <t>ORD-1392</t>
        </is>
      </c>
      <c r="B393" s="2" t="n">
        <v>45727</v>
      </c>
      <c r="C393" t="inlineStr">
        <is>
          <t>West</t>
        </is>
      </c>
      <c r="D393" t="inlineStr">
        <is>
          <t>Kavita Patil</t>
        </is>
      </c>
      <c r="E393" t="inlineStr">
        <is>
          <t>Laptop</t>
        </is>
      </c>
      <c r="F393" t="inlineStr">
        <is>
          <t>Electronics</t>
        </is>
      </c>
      <c r="G393" s="3" t="n">
        <v>5</v>
      </c>
      <c r="H393" s="4" t="n">
        <v>55000</v>
      </c>
      <c r="I393" s="4" t="n">
        <v>275000</v>
      </c>
      <c r="J393" s="4" t="n">
        <v>173738</v>
      </c>
      <c r="K393" s="4" t="n">
        <v>101262</v>
      </c>
    </row>
    <row r="394">
      <c r="A394" t="inlineStr">
        <is>
          <t>ORD-1393</t>
        </is>
      </c>
      <c r="B394" s="2" t="n">
        <v>45851</v>
      </c>
      <c r="C394" t="inlineStr">
        <is>
          <t>East</t>
        </is>
      </c>
      <c r="D394" t="inlineStr">
        <is>
          <t>Anita Roy</t>
        </is>
      </c>
      <c r="E394" t="inlineStr">
        <is>
          <t>Monitor</t>
        </is>
      </c>
      <c r="F394" t="inlineStr">
        <is>
          <t>Electronics</t>
        </is>
      </c>
      <c r="G394" s="3" t="n">
        <v>8</v>
      </c>
      <c r="H394" s="4" t="n">
        <v>14000</v>
      </c>
      <c r="I394" s="4" t="n">
        <v>112000</v>
      </c>
      <c r="J394" s="4" t="n">
        <v>81079</v>
      </c>
      <c r="K394" s="4" t="n">
        <v>30921</v>
      </c>
    </row>
    <row r="395">
      <c r="A395" t="inlineStr">
        <is>
          <t>ORD-1394</t>
        </is>
      </c>
      <c r="B395" s="2" t="n">
        <v>45726</v>
      </c>
      <c r="C395" t="inlineStr">
        <is>
          <t>North</t>
        </is>
      </c>
      <c r="D395" t="inlineStr">
        <is>
          <t>Priya Verma</t>
        </is>
      </c>
      <c r="E395" t="inlineStr">
        <is>
          <t>Keyboard</t>
        </is>
      </c>
      <c r="F395" t="inlineStr">
        <is>
          <t>Accessories</t>
        </is>
      </c>
      <c r="G395" s="3" t="n">
        <v>11</v>
      </c>
      <c r="H395" s="4" t="n">
        <v>2500</v>
      </c>
      <c r="I395" s="4" t="n">
        <v>27500</v>
      </c>
      <c r="J395" s="4" t="n">
        <v>19935</v>
      </c>
      <c r="K395" s="4" t="n">
        <v>7565</v>
      </c>
    </row>
    <row r="396">
      <c r="A396" t="inlineStr">
        <is>
          <t>ORD-1395</t>
        </is>
      </c>
      <c r="B396" s="2" t="n">
        <v>45723</v>
      </c>
      <c r="C396" t="inlineStr">
        <is>
          <t>North</t>
        </is>
      </c>
      <c r="D396" t="inlineStr">
        <is>
          <t>Amit Sharma</t>
        </is>
      </c>
      <c r="E396" t="inlineStr">
        <is>
          <t>Smartphone</t>
        </is>
      </c>
      <c r="F396" t="inlineStr">
        <is>
          <t>Electronics</t>
        </is>
      </c>
      <c r="G396" s="3" t="n">
        <v>9</v>
      </c>
      <c r="H396" s="4" t="n">
        <v>22000</v>
      </c>
      <c r="I396" s="4" t="n">
        <v>198000</v>
      </c>
      <c r="J396" s="4" t="n">
        <v>124465</v>
      </c>
      <c r="K396" s="4" t="n">
        <v>73535</v>
      </c>
    </row>
    <row r="397">
      <c r="A397" t="inlineStr">
        <is>
          <t>ORD-1396</t>
        </is>
      </c>
      <c r="B397" s="2" t="n">
        <v>45936</v>
      </c>
      <c r="C397" t="inlineStr">
        <is>
          <t>North</t>
        </is>
      </c>
      <c r="D397" t="inlineStr">
        <is>
          <t>Priya Verma</t>
        </is>
      </c>
      <c r="E397" t="inlineStr">
        <is>
          <t>Laptop</t>
        </is>
      </c>
      <c r="F397" t="inlineStr">
        <is>
          <t>Electronics</t>
        </is>
      </c>
      <c r="G397" s="3" t="n">
        <v>5</v>
      </c>
      <c r="H397" s="4" t="n">
        <v>55000</v>
      </c>
      <c r="I397" s="4" t="n">
        <v>275000</v>
      </c>
      <c r="J397" s="4" t="n">
        <v>176715</v>
      </c>
      <c r="K397" s="4" t="n">
        <v>98285</v>
      </c>
    </row>
    <row r="398">
      <c r="A398" t="inlineStr">
        <is>
          <t>ORD-1397</t>
        </is>
      </c>
      <c r="B398" s="2" t="n">
        <v>45737</v>
      </c>
      <c r="C398" t="inlineStr">
        <is>
          <t>West</t>
        </is>
      </c>
      <c r="D398" t="inlineStr">
        <is>
          <t>Kavita Patil</t>
        </is>
      </c>
      <c r="E398" t="inlineStr">
        <is>
          <t>Smartphone</t>
        </is>
      </c>
      <c r="F398" t="inlineStr">
        <is>
          <t>Electronics</t>
        </is>
      </c>
      <c r="G398" s="3" t="n">
        <v>4</v>
      </c>
      <c r="H398" s="4" t="n">
        <v>22000</v>
      </c>
      <c r="I398" s="4" t="n">
        <v>88000</v>
      </c>
      <c r="J398" s="4" t="n">
        <v>56507</v>
      </c>
      <c r="K398" s="4" t="n">
        <v>31493</v>
      </c>
    </row>
    <row r="399">
      <c r="A399" t="inlineStr">
        <is>
          <t>ORD-1398</t>
        </is>
      </c>
      <c r="B399" s="2" t="n">
        <v>45996</v>
      </c>
      <c r="C399" t="inlineStr">
        <is>
          <t>South</t>
        </is>
      </c>
      <c r="D399" t="inlineStr">
        <is>
          <t>Divya Menon</t>
        </is>
      </c>
      <c r="E399" t="inlineStr">
        <is>
          <t>Keyboard</t>
        </is>
      </c>
      <c r="F399" t="inlineStr">
        <is>
          <t>Accessories</t>
        </is>
      </c>
      <c r="G399" s="3" t="n">
        <v>2</v>
      </c>
      <c r="H399" s="4" t="n">
        <v>2500</v>
      </c>
      <c r="I399" s="4" t="n">
        <v>5000</v>
      </c>
      <c r="J399" s="4" t="n">
        <v>2782</v>
      </c>
      <c r="K399" s="4" t="n">
        <v>2218</v>
      </c>
    </row>
    <row r="400">
      <c r="A400" t="inlineStr">
        <is>
          <t>ORD-1399</t>
        </is>
      </c>
      <c r="B400" s="2" t="n">
        <v>45962</v>
      </c>
      <c r="C400" t="inlineStr">
        <is>
          <t>North</t>
        </is>
      </c>
      <c r="D400" t="inlineStr">
        <is>
          <t>Amit Sharma</t>
        </is>
      </c>
      <c r="E400" t="inlineStr">
        <is>
          <t>Smartphone</t>
        </is>
      </c>
      <c r="F400" t="inlineStr">
        <is>
          <t>Electronics</t>
        </is>
      </c>
      <c r="G400" s="3" t="n">
        <v>4</v>
      </c>
      <c r="H400" s="4" t="n">
        <v>22000</v>
      </c>
      <c r="I400" s="4" t="n">
        <v>88000</v>
      </c>
      <c r="J400" s="4" t="n">
        <v>49584</v>
      </c>
      <c r="K400" s="4" t="n">
        <v>38416</v>
      </c>
    </row>
    <row r="401">
      <c r="A401" t="inlineStr">
        <is>
          <t>ORD-1400</t>
        </is>
      </c>
      <c r="B401" s="2" t="n">
        <v>45682</v>
      </c>
      <c r="C401" t="inlineStr">
        <is>
          <t>West</t>
        </is>
      </c>
      <c r="D401" t="inlineStr">
        <is>
          <t>Vikram Mehta</t>
        </is>
      </c>
      <c r="E401" t="inlineStr">
        <is>
          <t>Headphones</t>
        </is>
      </c>
      <c r="F401" t="inlineStr">
        <is>
          <t>Accessories</t>
        </is>
      </c>
      <c r="G401" s="3" t="n">
        <v>11</v>
      </c>
      <c r="H401" s="4" t="n">
        <v>3500</v>
      </c>
      <c r="I401" s="4" t="n">
        <v>38500</v>
      </c>
      <c r="J401" s="4" t="n">
        <v>26590</v>
      </c>
      <c r="K401" s="4" t="n">
        <v>11910</v>
      </c>
    </row>
    <row r="402">
      <c r="A402" t="inlineStr">
        <is>
          <t>ORD-1401</t>
        </is>
      </c>
      <c r="B402" s="2" t="n">
        <v>45769</v>
      </c>
      <c r="C402" t="inlineStr">
        <is>
          <t>North</t>
        </is>
      </c>
      <c r="D402" t="inlineStr">
        <is>
          <t>Amit Sharma</t>
        </is>
      </c>
      <c r="E402" t="inlineStr">
        <is>
          <t>Monitor</t>
        </is>
      </c>
      <c r="F402" t="inlineStr">
        <is>
          <t>Electronics</t>
        </is>
      </c>
      <c r="G402" s="3" t="n">
        <v>8</v>
      </c>
      <c r="H402" s="4" t="n">
        <v>14000</v>
      </c>
      <c r="I402" s="4" t="n">
        <v>112000</v>
      </c>
      <c r="J402" s="4" t="n">
        <v>66849</v>
      </c>
      <c r="K402" s="4" t="n">
        <v>45151</v>
      </c>
    </row>
    <row r="403">
      <c r="A403" t="inlineStr">
        <is>
          <t>ORD-1402</t>
        </is>
      </c>
      <c r="B403" s="2" t="n">
        <v>45952</v>
      </c>
      <c r="C403" t="inlineStr">
        <is>
          <t>South</t>
        </is>
      </c>
      <c r="D403" t="inlineStr">
        <is>
          <t>Divya Menon</t>
        </is>
      </c>
      <c r="E403" t="inlineStr">
        <is>
          <t>Headphones</t>
        </is>
      </c>
      <c r="F403" t="inlineStr">
        <is>
          <t>Accessories</t>
        </is>
      </c>
      <c r="G403" s="3" t="n">
        <v>5</v>
      </c>
      <c r="H403" s="4" t="n">
        <v>3500</v>
      </c>
      <c r="I403" s="4" t="n">
        <v>17500</v>
      </c>
      <c r="J403" s="4" t="n">
        <v>10445</v>
      </c>
      <c r="K403" s="4" t="n">
        <v>7055</v>
      </c>
    </row>
    <row r="404">
      <c r="A404" t="inlineStr">
        <is>
          <t>ORD-1403</t>
        </is>
      </c>
      <c r="B404" s="2" t="n">
        <v>45996</v>
      </c>
      <c r="C404" t="inlineStr">
        <is>
          <t>East</t>
        </is>
      </c>
      <c r="D404" t="inlineStr">
        <is>
          <t>Sourav Das</t>
        </is>
      </c>
      <c r="E404" t="inlineStr">
        <is>
          <t>Smartphone</t>
        </is>
      </c>
      <c r="F404" t="inlineStr">
        <is>
          <t>Electronics</t>
        </is>
      </c>
      <c r="G404" s="3" t="n">
        <v>5</v>
      </c>
      <c r="H404" s="4" t="n">
        <v>22000</v>
      </c>
      <c r="I404" s="4" t="n">
        <v>110000</v>
      </c>
      <c r="J404" s="4" t="n">
        <v>79778</v>
      </c>
      <c r="K404" s="4" t="n">
        <v>30222</v>
      </c>
    </row>
    <row r="405">
      <c r="A405" t="inlineStr">
        <is>
          <t>ORD-1404</t>
        </is>
      </c>
      <c r="B405" s="2" t="n">
        <v>45960</v>
      </c>
      <c r="C405" t="inlineStr">
        <is>
          <t>West</t>
        </is>
      </c>
      <c r="D405" t="inlineStr">
        <is>
          <t>Vikram Mehta</t>
        </is>
      </c>
      <c r="E405" t="inlineStr">
        <is>
          <t>Tablet</t>
        </is>
      </c>
      <c r="F405" t="inlineStr">
        <is>
          <t>Electronics</t>
        </is>
      </c>
      <c r="G405" s="3" t="n">
        <v>5</v>
      </c>
      <c r="H405" s="4" t="n">
        <v>18000</v>
      </c>
      <c r="I405" s="4" t="n">
        <v>90000</v>
      </c>
      <c r="J405" s="4" t="n">
        <v>50597</v>
      </c>
      <c r="K405" s="4" t="n">
        <v>39403</v>
      </c>
    </row>
    <row r="406">
      <c r="A406" t="inlineStr">
        <is>
          <t>ORD-1405</t>
        </is>
      </c>
      <c r="B406" s="2" t="n">
        <v>45834</v>
      </c>
      <c r="C406" t="inlineStr">
        <is>
          <t>West</t>
        </is>
      </c>
      <c r="D406" t="inlineStr">
        <is>
          <t>Kavita Patil</t>
        </is>
      </c>
      <c r="E406" t="inlineStr">
        <is>
          <t>Headphones</t>
        </is>
      </c>
      <c r="F406" t="inlineStr">
        <is>
          <t>Accessories</t>
        </is>
      </c>
      <c r="G406" s="3" t="n">
        <v>8</v>
      </c>
      <c r="H406" s="4" t="n">
        <v>3500</v>
      </c>
      <c r="I406" s="4" t="n">
        <v>28000</v>
      </c>
      <c r="J406" s="4" t="n">
        <v>15663</v>
      </c>
      <c r="K406" s="4" t="n">
        <v>12337</v>
      </c>
    </row>
    <row r="407">
      <c r="A407" t="inlineStr">
        <is>
          <t>ORD-1406</t>
        </is>
      </c>
      <c r="B407" s="2" t="n">
        <v>45811</v>
      </c>
      <c r="C407" t="inlineStr">
        <is>
          <t>East</t>
        </is>
      </c>
      <c r="D407" t="inlineStr">
        <is>
          <t>Anita Roy</t>
        </is>
      </c>
      <c r="E407" t="inlineStr">
        <is>
          <t>Keyboard</t>
        </is>
      </c>
      <c r="F407" t="inlineStr">
        <is>
          <t>Accessories</t>
        </is>
      </c>
      <c r="G407" s="3" t="n">
        <v>7</v>
      </c>
      <c r="H407" s="4" t="n">
        <v>2500</v>
      </c>
      <c r="I407" s="4" t="n">
        <v>17500</v>
      </c>
      <c r="J407" s="4" t="n">
        <v>11054</v>
      </c>
      <c r="K407" s="4" t="n">
        <v>6446</v>
      </c>
    </row>
    <row r="408">
      <c r="A408" t="inlineStr">
        <is>
          <t>ORD-1407</t>
        </is>
      </c>
      <c r="B408" s="2" t="n">
        <v>45773</v>
      </c>
      <c r="C408" t="inlineStr">
        <is>
          <t>South</t>
        </is>
      </c>
      <c r="D408" t="inlineStr">
        <is>
          <t>Divya Menon</t>
        </is>
      </c>
      <c r="E408" t="inlineStr">
        <is>
          <t>Headphones</t>
        </is>
      </c>
      <c r="F408" t="inlineStr">
        <is>
          <t>Accessories</t>
        </is>
      </c>
      <c r="G408" s="3" t="n">
        <v>8</v>
      </c>
      <c r="H408" s="4" t="n">
        <v>3500</v>
      </c>
      <c r="I408" s="4" t="n">
        <v>28000</v>
      </c>
      <c r="J408" s="4" t="n">
        <v>16749</v>
      </c>
      <c r="K408" s="4" t="n">
        <v>11251</v>
      </c>
    </row>
    <row r="409">
      <c r="A409" t="inlineStr">
        <is>
          <t>ORD-1408</t>
        </is>
      </c>
      <c r="B409" s="2" t="n">
        <v>45871</v>
      </c>
      <c r="C409" t="inlineStr">
        <is>
          <t>South</t>
        </is>
      </c>
      <c r="D409" t="inlineStr">
        <is>
          <t>Ravi Nair</t>
        </is>
      </c>
      <c r="E409" t="inlineStr">
        <is>
          <t>Monitor</t>
        </is>
      </c>
      <c r="F409" t="inlineStr">
        <is>
          <t>Electronics</t>
        </is>
      </c>
      <c r="G409" s="3" t="n">
        <v>1</v>
      </c>
      <c r="H409" s="4" t="n">
        <v>14000</v>
      </c>
      <c r="I409" s="4" t="n">
        <v>14000</v>
      </c>
      <c r="J409" s="4" t="n">
        <v>9275</v>
      </c>
      <c r="K409" s="4" t="n">
        <v>4725</v>
      </c>
    </row>
    <row r="410">
      <c r="A410" t="inlineStr">
        <is>
          <t>ORD-1409</t>
        </is>
      </c>
      <c r="B410" s="2" t="n">
        <v>45989</v>
      </c>
      <c r="C410" t="inlineStr">
        <is>
          <t>West</t>
        </is>
      </c>
      <c r="D410" t="inlineStr">
        <is>
          <t>Vikram Mehta</t>
        </is>
      </c>
      <c r="E410" t="inlineStr">
        <is>
          <t>Smartphone</t>
        </is>
      </c>
      <c r="F410" t="inlineStr">
        <is>
          <t>Electronics</t>
        </is>
      </c>
      <c r="G410" s="3" t="n">
        <v>5</v>
      </c>
      <c r="H410" s="4" t="n">
        <v>22000</v>
      </c>
      <c r="I410" s="4" t="n">
        <v>110000</v>
      </c>
      <c r="J410" s="4" t="n">
        <v>64973</v>
      </c>
      <c r="K410" s="4" t="n">
        <v>45027</v>
      </c>
    </row>
    <row r="411">
      <c r="A411" t="inlineStr">
        <is>
          <t>ORD-1410</t>
        </is>
      </c>
      <c r="B411" s="2" t="n">
        <v>45755</v>
      </c>
      <c r="C411" t="inlineStr">
        <is>
          <t>West</t>
        </is>
      </c>
      <c r="D411" t="inlineStr">
        <is>
          <t>Vikram Mehta</t>
        </is>
      </c>
      <c r="E411" t="inlineStr">
        <is>
          <t>Tablet</t>
        </is>
      </c>
      <c r="F411" t="inlineStr">
        <is>
          <t>Electronics</t>
        </is>
      </c>
      <c r="G411" s="3" t="n">
        <v>2</v>
      </c>
      <c r="H411" s="4" t="n">
        <v>18000</v>
      </c>
      <c r="I411" s="4" t="n">
        <v>36000</v>
      </c>
      <c r="J411" s="4" t="n">
        <v>23657</v>
      </c>
      <c r="K411" s="4" t="n">
        <v>12343</v>
      </c>
    </row>
    <row r="412">
      <c r="A412" t="inlineStr">
        <is>
          <t>ORD-1411</t>
        </is>
      </c>
      <c r="B412" s="2" t="n">
        <v>45678</v>
      </c>
      <c r="C412" t="inlineStr">
        <is>
          <t>East</t>
        </is>
      </c>
      <c r="D412" t="inlineStr">
        <is>
          <t>Sourav Das</t>
        </is>
      </c>
      <c r="E412" t="inlineStr">
        <is>
          <t>Monitor</t>
        </is>
      </c>
      <c r="F412" t="inlineStr">
        <is>
          <t>Electronics</t>
        </is>
      </c>
      <c r="G412" s="3" t="n">
        <v>11</v>
      </c>
      <c r="H412" s="4" t="n">
        <v>14000</v>
      </c>
      <c r="I412" s="4" t="n">
        <v>154000</v>
      </c>
      <c r="J412" s="4" t="n">
        <v>103333</v>
      </c>
      <c r="K412" s="4" t="n">
        <v>50667</v>
      </c>
    </row>
    <row r="413">
      <c r="A413" t="inlineStr">
        <is>
          <t>ORD-1412</t>
        </is>
      </c>
      <c r="B413" s="2" t="n">
        <v>45769</v>
      </c>
      <c r="C413" t="inlineStr">
        <is>
          <t>South</t>
        </is>
      </c>
      <c r="D413" t="inlineStr">
        <is>
          <t>Divya Menon</t>
        </is>
      </c>
      <c r="E413" t="inlineStr">
        <is>
          <t>Headphones</t>
        </is>
      </c>
      <c r="F413" t="inlineStr">
        <is>
          <t>Accessories</t>
        </is>
      </c>
      <c r="G413" s="3" t="n">
        <v>12</v>
      </c>
      <c r="H413" s="4" t="n">
        <v>3500</v>
      </c>
      <c r="I413" s="4" t="n">
        <v>42000</v>
      </c>
      <c r="J413" s="4" t="n">
        <v>28740</v>
      </c>
      <c r="K413" s="4" t="n">
        <v>13260</v>
      </c>
    </row>
    <row r="414">
      <c r="A414" t="inlineStr">
        <is>
          <t>ORD-1413</t>
        </is>
      </c>
      <c r="B414" s="2" t="n">
        <v>45665</v>
      </c>
      <c r="C414" t="inlineStr">
        <is>
          <t>South</t>
        </is>
      </c>
      <c r="D414" t="inlineStr">
        <is>
          <t>Ravi Nair</t>
        </is>
      </c>
      <c r="E414" t="inlineStr">
        <is>
          <t>Tablet</t>
        </is>
      </c>
      <c r="F414" t="inlineStr">
        <is>
          <t>Electronics</t>
        </is>
      </c>
      <c r="G414" s="3" t="n">
        <v>5</v>
      </c>
      <c r="H414" s="4" t="n">
        <v>18000</v>
      </c>
      <c r="I414" s="4" t="n">
        <v>90000</v>
      </c>
      <c r="J414" s="4" t="n">
        <v>66726</v>
      </c>
      <c r="K414" s="4" t="n">
        <v>23274</v>
      </c>
    </row>
    <row r="415">
      <c r="A415" t="inlineStr">
        <is>
          <t>ORD-1414</t>
        </is>
      </c>
      <c r="B415" s="2" t="n">
        <v>45903</v>
      </c>
      <c r="C415" t="inlineStr">
        <is>
          <t>South</t>
        </is>
      </c>
      <c r="D415" t="inlineStr">
        <is>
          <t>Ravi Nair</t>
        </is>
      </c>
      <c r="E415" t="inlineStr">
        <is>
          <t>Keyboard</t>
        </is>
      </c>
      <c r="F415" t="inlineStr">
        <is>
          <t>Accessories</t>
        </is>
      </c>
      <c r="G415" s="3" t="n">
        <v>2</v>
      </c>
      <c r="H415" s="4" t="n">
        <v>2500</v>
      </c>
      <c r="I415" s="4" t="n">
        <v>5000</v>
      </c>
      <c r="J415" s="4" t="n">
        <v>3497</v>
      </c>
      <c r="K415" s="4" t="n">
        <v>1503</v>
      </c>
    </row>
    <row r="416">
      <c r="A416" t="inlineStr">
        <is>
          <t>ORD-1415</t>
        </is>
      </c>
      <c r="B416" s="2" t="n">
        <v>45802</v>
      </c>
      <c r="C416" t="inlineStr">
        <is>
          <t>South</t>
        </is>
      </c>
      <c r="D416" t="inlineStr">
        <is>
          <t>Divya Menon</t>
        </is>
      </c>
      <c r="E416" t="inlineStr">
        <is>
          <t>Monitor</t>
        </is>
      </c>
      <c r="F416" t="inlineStr">
        <is>
          <t>Electronics</t>
        </is>
      </c>
      <c r="G416" s="3" t="n">
        <v>4</v>
      </c>
      <c r="H416" s="4" t="n">
        <v>14000</v>
      </c>
      <c r="I416" s="4" t="n">
        <v>56000</v>
      </c>
      <c r="J416" s="4" t="n">
        <v>36983</v>
      </c>
      <c r="K416" s="4" t="n">
        <v>19017</v>
      </c>
    </row>
    <row r="417">
      <c r="A417" t="inlineStr">
        <is>
          <t>ORD-1416</t>
        </is>
      </c>
      <c r="B417" s="2" t="n">
        <v>45791</v>
      </c>
      <c r="C417" t="inlineStr">
        <is>
          <t>West</t>
        </is>
      </c>
      <c r="D417" t="inlineStr">
        <is>
          <t>Kavita Patil</t>
        </is>
      </c>
      <c r="E417" t="inlineStr">
        <is>
          <t>Headphones</t>
        </is>
      </c>
      <c r="F417" t="inlineStr">
        <is>
          <t>Accessories</t>
        </is>
      </c>
      <c r="G417" s="3" t="n">
        <v>11</v>
      </c>
      <c r="H417" s="4" t="n">
        <v>3500</v>
      </c>
      <c r="I417" s="4" t="n">
        <v>38500</v>
      </c>
      <c r="J417" s="4" t="n">
        <v>23941</v>
      </c>
      <c r="K417" s="4" t="n">
        <v>14559</v>
      </c>
    </row>
    <row r="418">
      <c r="A418" t="inlineStr">
        <is>
          <t>ORD-1417</t>
        </is>
      </c>
      <c r="B418" s="2" t="n">
        <v>45898</v>
      </c>
      <c r="C418" t="inlineStr">
        <is>
          <t>West</t>
        </is>
      </c>
      <c r="D418" t="inlineStr">
        <is>
          <t>Kavita Patil</t>
        </is>
      </c>
      <c r="E418" t="inlineStr">
        <is>
          <t>Monitor</t>
        </is>
      </c>
      <c r="F418" t="inlineStr">
        <is>
          <t>Electronics</t>
        </is>
      </c>
      <c r="G418" s="3" t="n">
        <v>2</v>
      </c>
      <c r="H418" s="4" t="n">
        <v>14000</v>
      </c>
      <c r="I418" s="4" t="n">
        <v>28000</v>
      </c>
      <c r="J418" s="4" t="n">
        <v>19896</v>
      </c>
      <c r="K418" s="4" t="n">
        <v>8104</v>
      </c>
    </row>
    <row r="419">
      <c r="A419" t="inlineStr">
        <is>
          <t>ORD-1418</t>
        </is>
      </c>
      <c r="B419" s="2" t="n">
        <v>45946</v>
      </c>
      <c r="C419" t="inlineStr">
        <is>
          <t>South</t>
        </is>
      </c>
      <c r="D419" t="inlineStr">
        <is>
          <t>Ravi Nair</t>
        </is>
      </c>
      <c r="E419" t="inlineStr">
        <is>
          <t>Tablet</t>
        </is>
      </c>
      <c r="F419" t="inlineStr">
        <is>
          <t>Electronics</t>
        </is>
      </c>
      <c r="G419" s="3" t="n">
        <v>6</v>
      </c>
      <c r="H419" s="4" t="n">
        <v>18000</v>
      </c>
      <c r="I419" s="4" t="n">
        <v>108000</v>
      </c>
      <c r="J419" s="4" t="n">
        <v>68341</v>
      </c>
      <c r="K419" s="4" t="n">
        <v>39659</v>
      </c>
    </row>
    <row r="420">
      <c r="A420" t="inlineStr">
        <is>
          <t>ORD-1419</t>
        </is>
      </c>
      <c r="B420" s="2" t="n">
        <v>45957</v>
      </c>
      <c r="C420" t="inlineStr">
        <is>
          <t>South</t>
        </is>
      </c>
      <c r="D420" t="inlineStr">
        <is>
          <t>Divya Menon</t>
        </is>
      </c>
      <c r="E420" t="inlineStr">
        <is>
          <t>Laptop</t>
        </is>
      </c>
      <c r="F420" t="inlineStr">
        <is>
          <t>Electronics</t>
        </is>
      </c>
      <c r="G420" s="3" t="n">
        <v>5</v>
      </c>
      <c r="H420" s="4" t="n">
        <v>55000</v>
      </c>
      <c r="I420" s="4" t="n">
        <v>275000</v>
      </c>
      <c r="J420" s="4" t="n">
        <v>181682</v>
      </c>
      <c r="K420" s="4" t="n">
        <v>93318</v>
      </c>
    </row>
    <row r="421">
      <c r="A421" t="inlineStr">
        <is>
          <t>ORD-1420</t>
        </is>
      </c>
      <c r="B421" s="2" t="n">
        <v>45852</v>
      </c>
      <c r="C421" t="inlineStr">
        <is>
          <t>East</t>
        </is>
      </c>
      <c r="D421" t="inlineStr">
        <is>
          <t>Sourav Das</t>
        </is>
      </c>
      <c r="E421" t="inlineStr">
        <is>
          <t>Smartphone</t>
        </is>
      </c>
      <c r="F421" t="inlineStr">
        <is>
          <t>Electronics</t>
        </is>
      </c>
      <c r="G421" s="3" t="n">
        <v>4</v>
      </c>
      <c r="H421" s="4" t="n">
        <v>22000</v>
      </c>
      <c r="I421" s="4" t="n">
        <v>88000</v>
      </c>
      <c r="J421" s="4" t="n">
        <v>54206</v>
      </c>
      <c r="K421" s="4" t="n">
        <v>33794</v>
      </c>
    </row>
    <row r="422">
      <c r="A422" t="inlineStr">
        <is>
          <t>ORD-1421</t>
        </is>
      </c>
      <c r="B422" s="2" t="n">
        <v>45830</v>
      </c>
      <c r="C422" t="inlineStr">
        <is>
          <t>West</t>
        </is>
      </c>
      <c r="D422" t="inlineStr">
        <is>
          <t>Kavita Patil</t>
        </is>
      </c>
      <c r="E422" t="inlineStr">
        <is>
          <t>Headphones</t>
        </is>
      </c>
      <c r="F422" t="inlineStr">
        <is>
          <t>Accessories</t>
        </is>
      </c>
      <c r="G422" s="3" t="n">
        <v>11</v>
      </c>
      <c r="H422" s="4" t="n">
        <v>3500</v>
      </c>
      <c r="I422" s="4" t="n">
        <v>38500</v>
      </c>
      <c r="J422" s="4" t="n">
        <v>28440</v>
      </c>
      <c r="K422" s="4" t="n">
        <v>10060</v>
      </c>
    </row>
    <row r="423">
      <c r="A423" t="inlineStr">
        <is>
          <t>ORD-1422</t>
        </is>
      </c>
      <c r="B423" s="2" t="n">
        <v>45893</v>
      </c>
      <c r="C423" t="inlineStr">
        <is>
          <t>West</t>
        </is>
      </c>
      <c r="D423" t="inlineStr">
        <is>
          <t>Vikram Mehta</t>
        </is>
      </c>
      <c r="E423" t="inlineStr">
        <is>
          <t>Keyboard</t>
        </is>
      </c>
      <c r="F423" t="inlineStr">
        <is>
          <t>Accessories</t>
        </is>
      </c>
      <c r="G423" s="3" t="n">
        <v>11</v>
      </c>
      <c r="H423" s="4" t="n">
        <v>2500</v>
      </c>
      <c r="I423" s="4" t="n">
        <v>27500</v>
      </c>
      <c r="J423" s="4" t="n">
        <v>19193</v>
      </c>
      <c r="K423" s="4" t="n">
        <v>8307</v>
      </c>
    </row>
    <row r="424">
      <c r="A424" t="inlineStr">
        <is>
          <t>ORD-1423</t>
        </is>
      </c>
      <c r="B424" s="2" t="n">
        <v>45908</v>
      </c>
      <c r="C424" t="inlineStr">
        <is>
          <t>East</t>
        </is>
      </c>
      <c r="D424" t="inlineStr">
        <is>
          <t>Sourav Das</t>
        </is>
      </c>
      <c r="E424" t="inlineStr">
        <is>
          <t>Smartphone</t>
        </is>
      </c>
      <c r="F424" t="inlineStr">
        <is>
          <t>Electronics</t>
        </is>
      </c>
      <c r="G424" s="3" t="n">
        <v>3</v>
      </c>
      <c r="H424" s="4" t="n">
        <v>22000</v>
      </c>
      <c r="I424" s="4" t="n">
        <v>66000</v>
      </c>
      <c r="J424" s="4" t="n">
        <v>45808</v>
      </c>
      <c r="K424" s="4" t="n">
        <v>20192</v>
      </c>
    </row>
    <row r="425">
      <c r="A425" t="inlineStr">
        <is>
          <t>ORD-1424</t>
        </is>
      </c>
      <c r="B425" s="2" t="n">
        <v>45696</v>
      </c>
      <c r="C425" t="inlineStr">
        <is>
          <t>North</t>
        </is>
      </c>
      <c r="D425" t="inlineStr">
        <is>
          <t>Amit Sharma</t>
        </is>
      </c>
      <c r="E425" t="inlineStr">
        <is>
          <t>Headphones</t>
        </is>
      </c>
      <c r="F425" t="inlineStr">
        <is>
          <t>Accessories</t>
        </is>
      </c>
      <c r="G425" s="3" t="n">
        <v>1</v>
      </c>
      <c r="H425" s="4" t="n">
        <v>3500</v>
      </c>
      <c r="I425" s="4" t="n">
        <v>3500</v>
      </c>
      <c r="J425" s="4" t="n">
        <v>2512</v>
      </c>
      <c r="K425" s="4" t="n">
        <v>988</v>
      </c>
    </row>
    <row r="426">
      <c r="A426" t="inlineStr">
        <is>
          <t>ORD-1425</t>
        </is>
      </c>
      <c r="B426" s="2" t="n">
        <v>45776</v>
      </c>
      <c r="C426" t="inlineStr">
        <is>
          <t>North</t>
        </is>
      </c>
      <c r="D426" t="inlineStr">
        <is>
          <t>Amit Sharma</t>
        </is>
      </c>
      <c r="E426" t="inlineStr">
        <is>
          <t>Monitor</t>
        </is>
      </c>
      <c r="F426" t="inlineStr">
        <is>
          <t>Electronics</t>
        </is>
      </c>
      <c r="G426" s="3" t="n">
        <v>3</v>
      </c>
      <c r="H426" s="4" t="n">
        <v>14000</v>
      </c>
      <c r="I426" s="4" t="n">
        <v>42000</v>
      </c>
      <c r="J426" s="4" t="n">
        <v>30177</v>
      </c>
      <c r="K426" s="4" t="n">
        <v>11823</v>
      </c>
    </row>
    <row r="427">
      <c r="A427" t="inlineStr">
        <is>
          <t>ORD-1426</t>
        </is>
      </c>
      <c r="B427" s="2" t="n">
        <v>45849</v>
      </c>
      <c r="C427" t="inlineStr">
        <is>
          <t>South</t>
        </is>
      </c>
      <c r="D427" t="inlineStr">
        <is>
          <t>Ravi Nair</t>
        </is>
      </c>
      <c r="E427" t="inlineStr">
        <is>
          <t>Laptop</t>
        </is>
      </c>
      <c r="F427" t="inlineStr">
        <is>
          <t>Electronics</t>
        </is>
      </c>
      <c r="G427" s="3" t="n">
        <v>4</v>
      </c>
      <c r="H427" s="4" t="n">
        <v>55000</v>
      </c>
      <c r="I427" s="4" t="n">
        <v>220000</v>
      </c>
      <c r="J427" s="4" t="n">
        <v>143252</v>
      </c>
      <c r="K427" s="4" t="n">
        <v>76748</v>
      </c>
    </row>
    <row r="428">
      <c r="A428" t="inlineStr">
        <is>
          <t>ORD-1427</t>
        </is>
      </c>
      <c r="B428" s="2" t="n">
        <v>45930</v>
      </c>
      <c r="C428" t="inlineStr">
        <is>
          <t>West</t>
        </is>
      </c>
      <c r="D428" t="inlineStr">
        <is>
          <t>Kavita Patil</t>
        </is>
      </c>
      <c r="E428" t="inlineStr">
        <is>
          <t>Keyboard</t>
        </is>
      </c>
      <c r="F428" t="inlineStr">
        <is>
          <t>Accessories</t>
        </is>
      </c>
      <c r="G428" s="3" t="n">
        <v>8</v>
      </c>
      <c r="H428" s="4" t="n">
        <v>2500</v>
      </c>
      <c r="I428" s="4" t="n">
        <v>20000</v>
      </c>
      <c r="J428" s="4" t="n">
        <v>11063</v>
      </c>
      <c r="K428" s="4" t="n">
        <v>8937</v>
      </c>
    </row>
    <row r="429">
      <c r="A429" t="inlineStr">
        <is>
          <t>ORD-1428</t>
        </is>
      </c>
      <c r="B429" s="2" t="n">
        <v>45932</v>
      </c>
      <c r="C429" t="inlineStr">
        <is>
          <t>North</t>
        </is>
      </c>
      <c r="D429" t="inlineStr">
        <is>
          <t>Priya Verma</t>
        </is>
      </c>
      <c r="E429" t="inlineStr">
        <is>
          <t>Laptop</t>
        </is>
      </c>
      <c r="F429" t="inlineStr">
        <is>
          <t>Electronics</t>
        </is>
      </c>
      <c r="G429" s="3" t="n">
        <v>9</v>
      </c>
      <c r="H429" s="4" t="n">
        <v>55000</v>
      </c>
      <c r="I429" s="4" t="n">
        <v>495000</v>
      </c>
      <c r="J429" s="4" t="n">
        <v>343747</v>
      </c>
      <c r="K429" s="4" t="n">
        <v>151253</v>
      </c>
    </row>
    <row r="430">
      <c r="A430" t="inlineStr">
        <is>
          <t>ORD-1429</t>
        </is>
      </c>
      <c r="B430" s="2" t="n">
        <v>45749</v>
      </c>
      <c r="C430" t="inlineStr">
        <is>
          <t>North</t>
        </is>
      </c>
      <c r="D430" t="inlineStr">
        <is>
          <t>Amit Sharma</t>
        </is>
      </c>
      <c r="E430" t="inlineStr">
        <is>
          <t>Headphones</t>
        </is>
      </c>
      <c r="F430" t="inlineStr">
        <is>
          <t>Accessories</t>
        </is>
      </c>
      <c r="G430" s="3" t="n">
        <v>12</v>
      </c>
      <c r="H430" s="4" t="n">
        <v>3500</v>
      </c>
      <c r="I430" s="4" t="n">
        <v>42000</v>
      </c>
      <c r="J430" s="4" t="n">
        <v>28762</v>
      </c>
      <c r="K430" s="4" t="n">
        <v>13238</v>
      </c>
    </row>
    <row r="431">
      <c r="A431" t="inlineStr">
        <is>
          <t>ORD-1430</t>
        </is>
      </c>
      <c r="B431" s="2" t="n">
        <v>45975</v>
      </c>
      <c r="C431" t="inlineStr">
        <is>
          <t>North</t>
        </is>
      </c>
      <c r="D431" t="inlineStr">
        <is>
          <t>Priya Verma</t>
        </is>
      </c>
      <c r="E431" t="inlineStr">
        <is>
          <t>Headphones</t>
        </is>
      </c>
      <c r="F431" t="inlineStr">
        <is>
          <t>Accessories</t>
        </is>
      </c>
      <c r="G431" s="3" t="n">
        <v>3</v>
      </c>
      <c r="H431" s="4" t="n">
        <v>3500</v>
      </c>
      <c r="I431" s="4" t="n">
        <v>10500</v>
      </c>
      <c r="J431" s="4" t="n">
        <v>6281</v>
      </c>
      <c r="K431" s="4" t="n">
        <v>4219</v>
      </c>
    </row>
    <row r="432">
      <c r="A432" t="inlineStr">
        <is>
          <t>ORD-1431</t>
        </is>
      </c>
      <c r="B432" s="2" t="n">
        <v>45865</v>
      </c>
      <c r="C432" t="inlineStr">
        <is>
          <t>East</t>
        </is>
      </c>
      <c r="D432" t="inlineStr">
        <is>
          <t>Anita Roy</t>
        </is>
      </c>
      <c r="E432" t="inlineStr">
        <is>
          <t>Tablet</t>
        </is>
      </c>
      <c r="F432" t="inlineStr">
        <is>
          <t>Electronics</t>
        </is>
      </c>
      <c r="G432" s="3" t="n">
        <v>7</v>
      </c>
      <c r="H432" s="4" t="n">
        <v>18000</v>
      </c>
      <c r="I432" s="4" t="n">
        <v>126000</v>
      </c>
      <c r="J432" s="4" t="n">
        <v>71291</v>
      </c>
      <c r="K432" s="4" t="n">
        <v>54709</v>
      </c>
    </row>
    <row r="433">
      <c r="A433" t="inlineStr">
        <is>
          <t>ORD-1432</t>
        </is>
      </c>
      <c r="B433" s="2" t="n">
        <v>45699</v>
      </c>
      <c r="C433" t="inlineStr">
        <is>
          <t>South</t>
        </is>
      </c>
      <c r="D433" t="inlineStr">
        <is>
          <t>Ravi Nair</t>
        </is>
      </c>
      <c r="E433" t="inlineStr">
        <is>
          <t>Keyboard</t>
        </is>
      </c>
      <c r="F433" t="inlineStr">
        <is>
          <t>Accessories</t>
        </is>
      </c>
      <c r="G433" s="3" t="n">
        <v>4</v>
      </c>
      <c r="H433" s="4" t="n">
        <v>2500</v>
      </c>
      <c r="I433" s="4" t="n">
        <v>10000</v>
      </c>
      <c r="J433" s="4" t="n">
        <v>6100</v>
      </c>
      <c r="K433" s="4" t="n">
        <v>3900</v>
      </c>
    </row>
    <row r="434">
      <c r="A434" t="inlineStr">
        <is>
          <t>ORD-1433</t>
        </is>
      </c>
      <c r="B434" s="2" t="n">
        <v>45901</v>
      </c>
      <c r="C434" t="inlineStr">
        <is>
          <t>North</t>
        </is>
      </c>
      <c r="D434" t="inlineStr">
        <is>
          <t>Amit Sharma</t>
        </is>
      </c>
      <c r="E434" t="inlineStr">
        <is>
          <t>Monitor</t>
        </is>
      </c>
      <c r="F434" t="inlineStr">
        <is>
          <t>Electronics</t>
        </is>
      </c>
      <c r="G434" s="3" t="n">
        <v>7</v>
      </c>
      <c r="H434" s="4" t="n">
        <v>14000</v>
      </c>
      <c r="I434" s="4" t="n">
        <v>98000</v>
      </c>
      <c r="J434" s="4" t="n">
        <v>61293</v>
      </c>
      <c r="K434" s="4" t="n">
        <v>36707</v>
      </c>
    </row>
    <row r="435">
      <c r="A435" t="inlineStr">
        <is>
          <t>ORD-1434</t>
        </is>
      </c>
      <c r="B435" s="2" t="n">
        <v>45880</v>
      </c>
      <c r="C435" t="inlineStr">
        <is>
          <t>North</t>
        </is>
      </c>
      <c r="D435" t="inlineStr">
        <is>
          <t>Priya Verma</t>
        </is>
      </c>
      <c r="E435" t="inlineStr">
        <is>
          <t>Keyboard</t>
        </is>
      </c>
      <c r="F435" t="inlineStr">
        <is>
          <t>Accessories</t>
        </is>
      </c>
      <c r="G435" s="3" t="n">
        <v>3</v>
      </c>
      <c r="H435" s="4" t="n">
        <v>2500</v>
      </c>
      <c r="I435" s="4" t="n">
        <v>7500</v>
      </c>
      <c r="J435" s="4" t="n">
        <v>4249</v>
      </c>
      <c r="K435" s="4" t="n">
        <v>3251</v>
      </c>
    </row>
    <row r="436">
      <c r="A436" t="inlineStr">
        <is>
          <t>ORD-1435</t>
        </is>
      </c>
      <c r="B436" s="2" t="n">
        <v>46012</v>
      </c>
      <c r="C436" t="inlineStr">
        <is>
          <t>North</t>
        </is>
      </c>
      <c r="D436" t="inlineStr">
        <is>
          <t>Priya Verma</t>
        </is>
      </c>
      <c r="E436" t="inlineStr">
        <is>
          <t>Headphones</t>
        </is>
      </c>
      <c r="F436" t="inlineStr">
        <is>
          <t>Accessories</t>
        </is>
      </c>
      <c r="G436" s="3" t="n">
        <v>1</v>
      </c>
      <c r="H436" s="4" t="n">
        <v>3500</v>
      </c>
      <c r="I436" s="4" t="n">
        <v>3500</v>
      </c>
      <c r="J436" s="4" t="n">
        <v>2086</v>
      </c>
      <c r="K436" s="4" t="n">
        <v>1414</v>
      </c>
    </row>
    <row r="437">
      <c r="A437" t="inlineStr">
        <is>
          <t>ORD-1436</t>
        </is>
      </c>
      <c r="B437" s="2" t="n">
        <v>45801</v>
      </c>
      <c r="C437" t="inlineStr">
        <is>
          <t>East</t>
        </is>
      </c>
      <c r="D437" t="inlineStr">
        <is>
          <t>Sourav Das</t>
        </is>
      </c>
      <c r="E437" t="inlineStr">
        <is>
          <t>Laptop</t>
        </is>
      </c>
      <c r="F437" t="inlineStr">
        <is>
          <t>Electronics</t>
        </is>
      </c>
      <c r="G437" s="3" t="n">
        <v>2</v>
      </c>
      <c r="H437" s="4" t="n">
        <v>55000</v>
      </c>
      <c r="I437" s="4" t="n">
        <v>110000</v>
      </c>
      <c r="J437" s="4" t="n">
        <v>75557</v>
      </c>
      <c r="K437" s="4" t="n">
        <v>34443</v>
      </c>
    </row>
    <row r="438">
      <c r="A438" t="inlineStr">
        <is>
          <t>ORD-1437</t>
        </is>
      </c>
      <c r="B438" s="2" t="n">
        <v>45958</v>
      </c>
      <c r="C438" t="inlineStr">
        <is>
          <t>South</t>
        </is>
      </c>
      <c r="D438" t="inlineStr">
        <is>
          <t>Ravi Nair</t>
        </is>
      </c>
      <c r="E438" t="inlineStr">
        <is>
          <t>Tablet</t>
        </is>
      </c>
      <c r="F438" t="inlineStr">
        <is>
          <t>Electronics</t>
        </is>
      </c>
      <c r="G438" s="3" t="n">
        <v>1</v>
      </c>
      <c r="H438" s="4" t="n">
        <v>18000</v>
      </c>
      <c r="I438" s="4" t="n">
        <v>18000</v>
      </c>
      <c r="J438" s="4" t="n">
        <v>13361</v>
      </c>
      <c r="K438" s="4" t="n">
        <v>4639</v>
      </c>
    </row>
    <row r="439">
      <c r="A439" t="inlineStr">
        <is>
          <t>ORD-1438</t>
        </is>
      </c>
      <c r="B439" s="2" t="n">
        <v>45781</v>
      </c>
      <c r="C439" t="inlineStr">
        <is>
          <t>West</t>
        </is>
      </c>
      <c r="D439" t="inlineStr">
        <is>
          <t>Kavita Patil</t>
        </is>
      </c>
      <c r="E439" t="inlineStr">
        <is>
          <t>Laptop</t>
        </is>
      </c>
      <c r="F439" t="inlineStr">
        <is>
          <t>Electronics</t>
        </is>
      </c>
      <c r="G439" s="3" t="n">
        <v>5</v>
      </c>
      <c r="H439" s="4" t="n">
        <v>55000</v>
      </c>
      <c r="I439" s="4" t="n">
        <v>275000</v>
      </c>
      <c r="J439" s="4" t="n">
        <v>160185</v>
      </c>
      <c r="K439" s="4" t="n">
        <v>114815</v>
      </c>
    </row>
    <row r="440">
      <c r="A440" t="inlineStr">
        <is>
          <t>ORD-1439</t>
        </is>
      </c>
      <c r="B440" s="2" t="n">
        <v>46010</v>
      </c>
      <c r="C440" t="inlineStr">
        <is>
          <t>East</t>
        </is>
      </c>
      <c r="D440" t="inlineStr">
        <is>
          <t>Sourav Das</t>
        </is>
      </c>
      <c r="E440" t="inlineStr">
        <is>
          <t>Monitor</t>
        </is>
      </c>
      <c r="F440" t="inlineStr">
        <is>
          <t>Electronics</t>
        </is>
      </c>
      <c r="G440" s="3" t="n">
        <v>12</v>
      </c>
      <c r="H440" s="4" t="n">
        <v>14000</v>
      </c>
      <c r="I440" s="4" t="n">
        <v>168000</v>
      </c>
      <c r="J440" s="4" t="n">
        <v>97102</v>
      </c>
      <c r="K440" s="4" t="n">
        <v>70898</v>
      </c>
    </row>
    <row r="441">
      <c r="A441" t="inlineStr">
        <is>
          <t>ORD-1440</t>
        </is>
      </c>
      <c r="B441" s="2" t="n">
        <v>45696</v>
      </c>
      <c r="C441" t="inlineStr">
        <is>
          <t>East</t>
        </is>
      </c>
      <c r="D441" t="inlineStr">
        <is>
          <t>Anita Roy</t>
        </is>
      </c>
      <c r="E441" t="inlineStr">
        <is>
          <t>Laptop</t>
        </is>
      </c>
      <c r="F441" t="inlineStr">
        <is>
          <t>Electronics</t>
        </is>
      </c>
      <c r="G441" s="3" t="n">
        <v>2</v>
      </c>
      <c r="H441" s="4" t="n">
        <v>55000</v>
      </c>
      <c r="I441" s="4" t="n">
        <v>110000</v>
      </c>
      <c r="J441" s="4" t="n">
        <v>70116</v>
      </c>
      <c r="K441" s="4" t="n">
        <v>39884</v>
      </c>
    </row>
    <row r="442">
      <c r="A442" t="inlineStr">
        <is>
          <t>ORD-1441</t>
        </is>
      </c>
      <c r="B442" s="2" t="n">
        <v>45888</v>
      </c>
      <c r="C442" t="inlineStr">
        <is>
          <t>West</t>
        </is>
      </c>
      <c r="D442" t="inlineStr">
        <is>
          <t>Kavita Patil</t>
        </is>
      </c>
      <c r="E442" t="inlineStr">
        <is>
          <t>Tablet</t>
        </is>
      </c>
      <c r="F442" t="inlineStr">
        <is>
          <t>Electronics</t>
        </is>
      </c>
      <c r="G442" s="3" t="n">
        <v>1</v>
      </c>
      <c r="H442" s="4" t="n">
        <v>18000</v>
      </c>
      <c r="I442" s="4" t="n">
        <v>18000</v>
      </c>
      <c r="J442" s="4" t="n">
        <v>12183</v>
      </c>
      <c r="K442" s="4" t="n">
        <v>5817</v>
      </c>
    </row>
    <row r="443">
      <c r="A443" t="inlineStr">
        <is>
          <t>ORD-1442</t>
        </is>
      </c>
      <c r="B443" s="2" t="n">
        <v>45879</v>
      </c>
      <c r="C443" t="inlineStr">
        <is>
          <t>South</t>
        </is>
      </c>
      <c r="D443" t="inlineStr">
        <is>
          <t>Ravi Nair</t>
        </is>
      </c>
      <c r="E443" t="inlineStr">
        <is>
          <t>Tablet</t>
        </is>
      </c>
      <c r="F443" t="inlineStr">
        <is>
          <t>Electronics</t>
        </is>
      </c>
      <c r="G443" s="3" t="n">
        <v>9</v>
      </c>
      <c r="H443" s="4" t="n">
        <v>18000</v>
      </c>
      <c r="I443" s="4" t="n">
        <v>162000</v>
      </c>
      <c r="J443" s="4" t="n">
        <v>119593</v>
      </c>
      <c r="K443" s="4" t="n">
        <v>42407</v>
      </c>
    </row>
    <row r="444">
      <c r="A444" t="inlineStr">
        <is>
          <t>ORD-1443</t>
        </is>
      </c>
      <c r="B444" s="2" t="n">
        <v>45784</v>
      </c>
      <c r="C444" t="inlineStr">
        <is>
          <t>West</t>
        </is>
      </c>
      <c r="D444" t="inlineStr">
        <is>
          <t>Vikram Mehta</t>
        </is>
      </c>
      <c r="E444" t="inlineStr">
        <is>
          <t>Laptop</t>
        </is>
      </c>
      <c r="F444" t="inlineStr">
        <is>
          <t>Electronics</t>
        </is>
      </c>
      <c r="G444" s="3" t="n">
        <v>10</v>
      </c>
      <c r="H444" s="4" t="n">
        <v>55000</v>
      </c>
      <c r="I444" s="4" t="n">
        <v>550000</v>
      </c>
      <c r="J444" s="4" t="n">
        <v>334992</v>
      </c>
      <c r="K444" s="4" t="n">
        <v>215008</v>
      </c>
    </row>
    <row r="445">
      <c r="A445" t="inlineStr">
        <is>
          <t>ORD-1444</t>
        </is>
      </c>
      <c r="B445" s="2" t="n">
        <v>45982</v>
      </c>
      <c r="C445" t="inlineStr">
        <is>
          <t>North</t>
        </is>
      </c>
      <c r="D445" t="inlineStr">
        <is>
          <t>Amit Sharma</t>
        </is>
      </c>
      <c r="E445" t="inlineStr">
        <is>
          <t>Tablet</t>
        </is>
      </c>
      <c r="F445" t="inlineStr">
        <is>
          <t>Electronics</t>
        </is>
      </c>
      <c r="G445" s="3" t="n">
        <v>3</v>
      </c>
      <c r="H445" s="4" t="n">
        <v>18000</v>
      </c>
      <c r="I445" s="4" t="n">
        <v>54000</v>
      </c>
      <c r="J445" s="4" t="n">
        <v>33804</v>
      </c>
      <c r="K445" s="4" t="n">
        <v>20196</v>
      </c>
    </row>
    <row r="446">
      <c r="A446" t="inlineStr">
        <is>
          <t>ORD-1445</t>
        </is>
      </c>
      <c r="B446" s="2" t="n">
        <v>45660</v>
      </c>
      <c r="C446" t="inlineStr">
        <is>
          <t>West</t>
        </is>
      </c>
      <c r="D446" t="inlineStr">
        <is>
          <t>Kavita Patil</t>
        </is>
      </c>
      <c r="E446" t="inlineStr">
        <is>
          <t>Tablet</t>
        </is>
      </c>
      <c r="F446" t="inlineStr">
        <is>
          <t>Electronics</t>
        </is>
      </c>
      <c r="G446" s="3" t="n">
        <v>6</v>
      </c>
      <c r="H446" s="4" t="n">
        <v>18000</v>
      </c>
      <c r="I446" s="4" t="n">
        <v>108000</v>
      </c>
      <c r="J446" s="4" t="n">
        <v>61701</v>
      </c>
      <c r="K446" s="4" t="n">
        <v>46299</v>
      </c>
    </row>
    <row r="447">
      <c r="A447" t="inlineStr">
        <is>
          <t>ORD-1446</t>
        </is>
      </c>
      <c r="B447" s="2" t="n">
        <v>45702</v>
      </c>
      <c r="C447" t="inlineStr">
        <is>
          <t>West</t>
        </is>
      </c>
      <c r="D447" t="inlineStr">
        <is>
          <t>Vikram Mehta</t>
        </is>
      </c>
      <c r="E447" t="inlineStr">
        <is>
          <t>Tablet</t>
        </is>
      </c>
      <c r="F447" t="inlineStr">
        <is>
          <t>Electronics</t>
        </is>
      </c>
      <c r="G447" s="3" t="n">
        <v>5</v>
      </c>
      <c r="H447" s="4" t="n">
        <v>18000</v>
      </c>
      <c r="I447" s="4" t="n">
        <v>90000</v>
      </c>
      <c r="J447" s="4" t="n">
        <v>51340</v>
      </c>
      <c r="K447" s="4" t="n">
        <v>38660</v>
      </c>
    </row>
    <row r="448">
      <c r="A448" t="inlineStr">
        <is>
          <t>ORD-1447</t>
        </is>
      </c>
      <c r="B448" s="2" t="n">
        <v>45866</v>
      </c>
      <c r="C448" t="inlineStr">
        <is>
          <t>West</t>
        </is>
      </c>
      <c r="D448" t="inlineStr">
        <is>
          <t>Vikram Mehta</t>
        </is>
      </c>
      <c r="E448" t="inlineStr">
        <is>
          <t>Monitor</t>
        </is>
      </c>
      <c r="F448" t="inlineStr">
        <is>
          <t>Electronics</t>
        </is>
      </c>
      <c r="G448" s="3" t="n">
        <v>9</v>
      </c>
      <c r="H448" s="4" t="n">
        <v>14000</v>
      </c>
      <c r="I448" s="4" t="n">
        <v>126000</v>
      </c>
      <c r="J448" s="4" t="n">
        <v>83279</v>
      </c>
      <c r="K448" s="4" t="n">
        <v>42721</v>
      </c>
    </row>
    <row r="449">
      <c r="A449" t="inlineStr">
        <is>
          <t>ORD-1448</t>
        </is>
      </c>
      <c r="B449" s="2" t="n">
        <v>45963</v>
      </c>
      <c r="C449" t="inlineStr">
        <is>
          <t>North</t>
        </is>
      </c>
      <c r="D449" t="inlineStr">
        <is>
          <t>Priya Verma</t>
        </is>
      </c>
      <c r="E449" t="inlineStr">
        <is>
          <t>Laptop</t>
        </is>
      </c>
      <c r="F449" t="inlineStr">
        <is>
          <t>Electronics</t>
        </is>
      </c>
      <c r="G449" s="3" t="n">
        <v>6</v>
      </c>
      <c r="H449" s="4" t="n">
        <v>55000</v>
      </c>
      <c r="I449" s="4" t="n">
        <v>330000</v>
      </c>
      <c r="J449" s="4" t="n">
        <v>218079</v>
      </c>
      <c r="K449" s="4" t="n">
        <v>111921</v>
      </c>
    </row>
    <row r="450">
      <c r="A450" t="inlineStr">
        <is>
          <t>ORD-1449</t>
        </is>
      </c>
      <c r="B450" s="2" t="n">
        <v>45701</v>
      </c>
      <c r="C450" t="inlineStr">
        <is>
          <t>West</t>
        </is>
      </c>
      <c r="D450" t="inlineStr">
        <is>
          <t>Vikram Mehta</t>
        </is>
      </c>
      <c r="E450" t="inlineStr">
        <is>
          <t>Laptop</t>
        </is>
      </c>
      <c r="F450" t="inlineStr">
        <is>
          <t>Electronics</t>
        </is>
      </c>
      <c r="G450" s="3" t="n">
        <v>5</v>
      </c>
      <c r="H450" s="4" t="n">
        <v>55000</v>
      </c>
      <c r="I450" s="4" t="n">
        <v>275000</v>
      </c>
      <c r="J450" s="4" t="n">
        <v>174010</v>
      </c>
      <c r="K450" s="4" t="n">
        <v>100990</v>
      </c>
    </row>
    <row r="451">
      <c r="A451" t="inlineStr">
        <is>
          <t>ORD-1450</t>
        </is>
      </c>
      <c r="B451" s="2" t="n">
        <v>45795</v>
      </c>
      <c r="C451" t="inlineStr">
        <is>
          <t>South</t>
        </is>
      </c>
      <c r="D451" t="inlineStr">
        <is>
          <t>Divya Menon</t>
        </is>
      </c>
      <c r="E451" t="inlineStr">
        <is>
          <t>Keyboard</t>
        </is>
      </c>
      <c r="F451" t="inlineStr">
        <is>
          <t>Accessories</t>
        </is>
      </c>
      <c r="G451" s="3" t="n">
        <v>7</v>
      </c>
      <c r="H451" s="4" t="n">
        <v>2500</v>
      </c>
      <c r="I451" s="4" t="n">
        <v>17500</v>
      </c>
      <c r="J451" s="4" t="n">
        <v>10218</v>
      </c>
      <c r="K451" s="4" t="n">
        <v>7282</v>
      </c>
    </row>
    <row r="452">
      <c r="A452" t="inlineStr">
        <is>
          <t>ORD-1451</t>
        </is>
      </c>
      <c r="B452" s="2" t="n">
        <v>45880</v>
      </c>
      <c r="C452" t="inlineStr">
        <is>
          <t>East</t>
        </is>
      </c>
      <c r="D452" t="inlineStr">
        <is>
          <t>Anita Roy</t>
        </is>
      </c>
      <c r="E452" t="inlineStr">
        <is>
          <t>Monitor</t>
        </is>
      </c>
      <c r="F452" t="inlineStr">
        <is>
          <t>Electronics</t>
        </is>
      </c>
      <c r="G452" s="3" t="n">
        <v>3</v>
      </c>
      <c r="H452" s="4" t="n">
        <v>14000</v>
      </c>
      <c r="I452" s="4" t="n">
        <v>42000</v>
      </c>
      <c r="J452" s="4" t="n">
        <v>23631</v>
      </c>
      <c r="K452" s="4" t="n">
        <v>18369</v>
      </c>
    </row>
    <row r="453">
      <c r="A453" t="inlineStr">
        <is>
          <t>ORD-1452</t>
        </is>
      </c>
      <c r="B453" s="2" t="n">
        <v>45842</v>
      </c>
      <c r="C453" t="inlineStr">
        <is>
          <t>West</t>
        </is>
      </c>
      <c r="D453" t="inlineStr">
        <is>
          <t>Kavita Patil</t>
        </is>
      </c>
      <c r="E453" t="inlineStr">
        <is>
          <t>Tablet</t>
        </is>
      </c>
      <c r="F453" t="inlineStr">
        <is>
          <t>Electronics</t>
        </is>
      </c>
      <c r="G453" s="3" t="n">
        <v>8</v>
      </c>
      <c r="H453" s="4" t="n">
        <v>18000</v>
      </c>
      <c r="I453" s="4" t="n">
        <v>144000</v>
      </c>
      <c r="J453" s="4" t="n">
        <v>101741</v>
      </c>
      <c r="K453" s="4" t="n">
        <v>42259</v>
      </c>
    </row>
    <row r="454">
      <c r="A454" t="inlineStr">
        <is>
          <t>ORD-1453</t>
        </is>
      </c>
      <c r="B454" s="2" t="n">
        <v>45973</v>
      </c>
      <c r="C454" t="inlineStr">
        <is>
          <t>South</t>
        </is>
      </c>
      <c r="D454" t="inlineStr">
        <is>
          <t>Ravi Nair</t>
        </is>
      </c>
      <c r="E454" t="inlineStr">
        <is>
          <t>Keyboard</t>
        </is>
      </c>
      <c r="F454" t="inlineStr">
        <is>
          <t>Accessories</t>
        </is>
      </c>
      <c r="G454" s="3" t="n">
        <v>11</v>
      </c>
      <c r="H454" s="4" t="n">
        <v>2500</v>
      </c>
      <c r="I454" s="4" t="n">
        <v>27500</v>
      </c>
      <c r="J454" s="4" t="n">
        <v>17852</v>
      </c>
      <c r="K454" s="4" t="n">
        <v>9648</v>
      </c>
    </row>
    <row r="455">
      <c r="A455" t="inlineStr">
        <is>
          <t>ORD-1454</t>
        </is>
      </c>
      <c r="B455" s="2" t="n">
        <v>45860</v>
      </c>
      <c r="C455" t="inlineStr">
        <is>
          <t>West</t>
        </is>
      </c>
      <c r="D455" t="inlineStr">
        <is>
          <t>Kavita Patil</t>
        </is>
      </c>
      <c r="E455" t="inlineStr">
        <is>
          <t>Laptop</t>
        </is>
      </c>
      <c r="F455" t="inlineStr">
        <is>
          <t>Electronics</t>
        </is>
      </c>
      <c r="G455" s="3" t="n">
        <v>3</v>
      </c>
      <c r="H455" s="4" t="n">
        <v>55000</v>
      </c>
      <c r="I455" s="4" t="n">
        <v>165000</v>
      </c>
      <c r="J455" s="4" t="n">
        <v>100804</v>
      </c>
      <c r="K455" s="4" t="n">
        <v>64196</v>
      </c>
    </row>
    <row r="456">
      <c r="A456" t="inlineStr">
        <is>
          <t>ORD-1455</t>
        </is>
      </c>
      <c r="B456" s="2" t="n">
        <v>45991</v>
      </c>
      <c r="C456" t="inlineStr">
        <is>
          <t>West</t>
        </is>
      </c>
      <c r="D456" t="inlineStr">
        <is>
          <t>Vikram Mehta</t>
        </is>
      </c>
      <c r="E456" t="inlineStr">
        <is>
          <t>Tablet</t>
        </is>
      </c>
      <c r="F456" t="inlineStr">
        <is>
          <t>Electronics</t>
        </is>
      </c>
      <c r="G456" s="3" t="n">
        <v>8</v>
      </c>
      <c r="H456" s="4" t="n">
        <v>18000</v>
      </c>
      <c r="I456" s="4" t="n">
        <v>144000</v>
      </c>
      <c r="J456" s="4" t="n">
        <v>88840</v>
      </c>
      <c r="K456" s="4" t="n">
        <v>55160</v>
      </c>
    </row>
    <row r="457">
      <c r="A457" t="inlineStr">
        <is>
          <t>ORD-1456</t>
        </is>
      </c>
      <c r="B457" s="2" t="n">
        <v>45760</v>
      </c>
      <c r="C457" t="inlineStr">
        <is>
          <t>East</t>
        </is>
      </c>
      <c r="D457" t="inlineStr">
        <is>
          <t>Anita Roy</t>
        </is>
      </c>
      <c r="E457" t="inlineStr">
        <is>
          <t>Tablet</t>
        </is>
      </c>
      <c r="F457" t="inlineStr">
        <is>
          <t>Electronics</t>
        </is>
      </c>
      <c r="G457" s="3" t="n">
        <v>10</v>
      </c>
      <c r="H457" s="4" t="n">
        <v>18000</v>
      </c>
      <c r="I457" s="4" t="n">
        <v>180000</v>
      </c>
      <c r="J457" s="4" t="n">
        <v>133102</v>
      </c>
      <c r="K457" s="4" t="n">
        <v>46898</v>
      </c>
    </row>
    <row r="458">
      <c r="A458" t="inlineStr">
        <is>
          <t>ORD-1457</t>
        </is>
      </c>
      <c r="B458" s="2" t="n">
        <v>45807</v>
      </c>
      <c r="C458" t="inlineStr">
        <is>
          <t>East</t>
        </is>
      </c>
      <c r="D458" t="inlineStr">
        <is>
          <t>Anita Roy</t>
        </is>
      </c>
      <c r="E458" t="inlineStr">
        <is>
          <t>Smartphone</t>
        </is>
      </c>
      <c r="F458" t="inlineStr">
        <is>
          <t>Electronics</t>
        </is>
      </c>
      <c r="G458" s="3" t="n">
        <v>7</v>
      </c>
      <c r="H458" s="4" t="n">
        <v>22000</v>
      </c>
      <c r="I458" s="4" t="n">
        <v>154000</v>
      </c>
      <c r="J458" s="4" t="n">
        <v>114537</v>
      </c>
      <c r="K458" s="4" t="n">
        <v>39463</v>
      </c>
    </row>
    <row r="459">
      <c r="A459" t="inlineStr">
        <is>
          <t>ORD-1458</t>
        </is>
      </c>
      <c r="B459" s="2" t="n">
        <v>45859</v>
      </c>
      <c r="C459" t="inlineStr">
        <is>
          <t>South</t>
        </is>
      </c>
      <c r="D459" t="inlineStr">
        <is>
          <t>Divya Menon</t>
        </is>
      </c>
      <c r="E459" t="inlineStr">
        <is>
          <t>Tablet</t>
        </is>
      </c>
      <c r="F459" t="inlineStr">
        <is>
          <t>Electronics</t>
        </is>
      </c>
      <c r="G459" s="3" t="n">
        <v>7</v>
      </c>
      <c r="H459" s="4" t="n">
        <v>18000</v>
      </c>
      <c r="I459" s="4" t="n">
        <v>126000</v>
      </c>
      <c r="J459" s="4" t="n">
        <v>76364</v>
      </c>
      <c r="K459" s="4" t="n">
        <v>49636</v>
      </c>
    </row>
    <row r="460">
      <c r="A460" t="inlineStr">
        <is>
          <t>ORD-1459</t>
        </is>
      </c>
      <c r="B460" s="2" t="n">
        <v>45937</v>
      </c>
      <c r="C460" t="inlineStr">
        <is>
          <t>North</t>
        </is>
      </c>
      <c r="D460" t="inlineStr">
        <is>
          <t>Amit Sharma</t>
        </is>
      </c>
      <c r="E460" t="inlineStr">
        <is>
          <t>Headphones</t>
        </is>
      </c>
      <c r="F460" t="inlineStr">
        <is>
          <t>Accessories</t>
        </is>
      </c>
      <c r="G460" s="3" t="n">
        <v>4</v>
      </c>
      <c r="H460" s="4" t="n">
        <v>3500</v>
      </c>
      <c r="I460" s="4" t="n">
        <v>14000</v>
      </c>
      <c r="J460" s="4" t="n">
        <v>9358</v>
      </c>
      <c r="K460" s="4" t="n">
        <v>4642</v>
      </c>
    </row>
    <row r="461">
      <c r="A461" t="inlineStr">
        <is>
          <t>ORD-1460</t>
        </is>
      </c>
      <c r="B461" s="2" t="n">
        <v>45765</v>
      </c>
      <c r="C461" t="inlineStr">
        <is>
          <t>North</t>
        </is>
      </c>
      <c r="D461" t="inlineStr">
        <is>
          <t>Priya Verma</t>
        </is>
      </c>
      <c r="E461" t="inlineStr">
        <is>
          <t>Keyboard</t>
        </is>
      </c>
      <c r="F461" t="inlineStr">
        <is>
          <t>Accessories</t>
        </is>
      </c>
      <c r="G461" s="3" t="n">
        <v>8</v>
      </c>
      <c r="H461" s="4" t="n">
        <v>2500</v>
      </c>
      <c r="I461" s="4" t="n">
        <v>20000</v>
      </c>
      <c r="J461" s="4" t="n">
        <v>14772</v>
      </c>
      <c r="K461" s="4" t="n">
        <v>5228</v>
      </c>
    </row>
    <row r="462">
      <c r="A462" t="inlineStr">
        <is>
          <t>ORD-1461</t>
        </is>
      </c>
      <c r="B462" s="2" t="n">
        <v>45867</v>
      </c>
      <c r="C462" t="inlineStr">
        <is>
          <t>East</t>
        </is>
      </c>
      <c r="D462" t="inlineStr">
        <is>
          <t>Anita Roy</t>
        </is>
      </c>
      <c r="E462" t="inlineStr">
        <is>
          <t>Keyboard</t>
        </is>
      </c>
      <c r="F462" t="inlineStr">
        <is>
          <t>Accessories</t>
        </is>
      </c>
      <c r="G462" s="3" t="n">
        <v>2</v>
      </c>
      <c r="H462" s="4" t="n">
        <v>2500</v>
      </c>
      <c r="I462" s="4" t="n">
        <v>5000</v>
      </c>
      <c r="J462" s="4" t="n">
        <v>3569</v>
      </c>
      <c r="K462" s="4" t="n">
        <v>1431</v>
      </c>
    </row>
    <row r="463">
      <c r="A463" t="inlineStr">
        <is>
          <t>ORD-1462</t>
        </is>
      </c>
      <c r="B463" s="2" t="n">
        <v>45995</v>
      </c>
      <c r="C463" t="inlineStr">
        <is>
          <t>South</t>
        </is>
      </c>
      <c r="D463" t="inlineStr">
        <is>
          <t>Ravi Nair</t>
        </is>
      </c>
      <c r="E463" t="inlineStr">
        <is>
          <t>Keyboard</t>
        </is>
      </c>
      <c r="F463" t="inlineStr">
        <is>
          <t>Accessories</t>
        </is>
      </c>
      <c r="G463" s="3" t="n">
        <v>5</v>
      </c>
      <c r="H463" s="4" t="n">
        <v>2500</v>
      </c>
      <c r="I463" s="4" t="n">
        <v>12500</v>
      </c>
      <c r="J463" s="4" t="n">
        <v>7480</v>
      </c>
      <c r="K463" s="4" t="n">
        <v>5020</v>
      </c>
    </row>
    <row r="464">
      <c r="A464" t="inlineStr">
        <is>
          <t>ORD-1463</t>
        </is>
      </c>
      <c r="B464" s="2" t="n">
        <v>45964</v>
      </c>
      <c r="C464" t="inlineStr">
        <is>
          <t>West</t>
        </is>
      </c>
      <c r="D464" t="inlineStr">
        <is>
          <t>Kavita Patil</t>
        </is>
      </c>
      <c r="E464" t="inlineStr">
        <is>
          <t>Monitor</t>
        </is>
      </c>
      <c r="F464" t="inlineStr">
        <is>
          <t>Electronics</t>
        </is>
      </c>
      <c r="G464" s="3" t="n">
        <v>2</v>
      </c>
      <c r="H464" s="4" t="n">
        <v>14000</v>
      </c>
      <c r="I464" s="4" t="n">
        <v>28000</v>
      </c>
      <c r="J464" s="4" t="n">
        <v>17915</v>
      </c>
      <c r="K464" s="4" t="n">
        <v>10085</v>
      </c>
    </row>
    <row r="465">
      <c r="A465" t="inlineStr">
        <is>
          <t>ORD-1464</t>
        </is>
      </c>
      <c r="B465" s="2" t="n">
        <v>46012</v>
      </c>
      <c r="C465" t="inlineStr">
        <is>
          <t>West</t>
        </is>
      </c>
      <c r="D465" t="inlineStr">
        <is>
          <t>Kavita Patil</t>
        </is>
      </c>
      <c r="E465" t="inlineStr">
        <is>
          <t>Headphones</t>
        </is>
      </c>
      <c r="F465" t="inlineStr">
        <is>
          <t>Accessories</t>
        </is>
      </c>
      <c r="G465" s="3" t="n">
        <v>9</v>
      </c>
      <c r="H465" s="4" t="n">
        <v>3500</v>
      </c>
      <c r="I465" s="4" t="n">
        <v>31500</v>
      </c>
      <c r="J465" s="4" t="n">
        <v>23143</v>
      </c>
      <c r="K465" s="4" t="n">
        <v>8357</v>
      </c>
    </row>
    <row r="466">
      <c r="A466" t="inlineStr">
        <is>
          <t>ORD-1465</t>
        </is>
      </c>
      <c r="B466" s="2" t="n">
        <v>45932</v>
      </c>
      <c r="C466" t="inlineStr">
        <is>
          <t>North</t>
        </is>
      </c>
      <c r="D466" t="inlineStr">
        <is>
          <t>Amit Sharma</t>
        </is>
      </c>
      <c r="E466" t="inlineStr">
        <is>
          <t>Tablet</t>
        </is>
      </c>
      <c r="F466" t="inlineStr">
        <is>
          <t>Electronics</t>
        </is>
      </c>
      <c r="G466" s="3" t="n">
        <v>12</v>
      </c>
      <c r="H466" s="4" t="n">
        <v>18000</v>
      </c>
      <c r="I466" s="4" t="n">
        <v>216000</v>
      </c>
      <c r="J466" s="4" t="n">
        <v>157486</v>
      </c>
      <c r="K466" s="4" t="n">
        <v>58514</v>
      </c>
    </row>
    <row r="467">
      <c r="A467" t="inlineStr">
        <is>
          <t>ORD-1466</t>
        </is>
      </c>
      <c r="B467" s="2" t="n">
        <v>45743</v>
      </c>
      <c r="C467" t="inlineStr">
        <is>
          <t>North</t>
        </is>
      </c>
      <c r="D467" t="inlineStr">
        <is>
          <t>Amit Sharma</t>
        </is>
      </c>
      <c r="E467" t="inlineStr">
        <is>
          <t>Smartphone</t>
        </is>
      </c>
      <c r="F467" t="inlineStr">
        <is>
          <t>Electronics</t>
        </is>
      </c>
      <c r="G467" s="3" t="n">
        <v>11</v>
      </c>
      <c r="H467" s="4" t="n">
        <v>22000</v>
      </c>
      <c r="I467" s="4" t="n">
        <v>242000</v>
      </c>
      <c r="J467" s="4" t="n">
        <v>165271</v>
      </c>
      <c r="K467" s="4" t="n">
        <v>76729</v>
      </c>
    </row>
    <row r="468">
      <c r="A468" t="inlineStr">
        <is>
          <t>ORD-1467</t>
        </is>
      </c>
      <c r="B468" s="2" t="n">
        <v>45708</v>
      </c>
      <c r="C468" t="inlineStr">
        <is>
          <t>West</t>
        </is>
      </c>
      <c r="D468" t="inlineStr">
        <is>
          <t>Kavita Patil</t>
        </is>
      </c>
      <c r="E468" t="inlineStr">
        <is>
          <t>Tablet</t>
        </is>
      </c>
      <c r="F468" t="inlineStr">
        <is>
          <t>Electronics</t>
        </is>
      </c>
      <c r="G468" s="3" t="n">
        <v>7</v>
      </c>
      <c r="H468" s="4" t="n">
        <v>18000</v>
      </c>
      <c r="I468" s="4" t="n">
        <v>126000</v>
      </c>
      <c r="J468" s="4" t="n">
        <v>71970</v>
      </c>
      <c r="K468" s="4" t="n">
        <v>54030</v>
      </c>
    </row>
    <row r="469">
      <c r="A469" t="inlineStr">
        <is>
          <t>ORD-1468</t>
        </is>
      </c>
      <c r="B469" s="2" t="n">
        <v>45955</v>
      </c>
      <c r="C469" t="inlineStr">
        <is>
          <t>South</t>
        </is>
      </c>
      <c r="D469" t="inlineStr">
        <is>
          <t>Ravi Nair</t>
        </is>
      </c>
      <c r="E469" t="inlineStr">
        <is>
          <t>Headphones</t>
        </is>
      </c>
      <c r="F469" t="inlineStr">
        <is>
          <t>Accessories</t>
        </is>
      </c>
      <c r="G469" s="3" t="n">
        <v>12</v>
      </c>
      <c r="H469" s="4" t="n">
        <v>3500</v>
      </c>
      <c r="I469" s="4" t="n">
        <v>42000</v>
      </c>
      <c r="J469" s="4" t="n">
        <v>27458</v>
      </c>
      <c r="K469" s="4" t="n">
        <v>14542</v>
      </c>
    </row>
    <row r="470">
      <c r="A470" t="inlineStr">
        <is>
          <t>ORD-1469</t>
        </is>
      </c>
      <c r="B470" s="2" t="n">
        <v>46005</v>
      </c>
      <c r="C470" t="inlineStr">
        <is>
          <t>West</t>
        </is>
      </c>
      <c r="D470" t="inlineStr">
        <is>
          <t>Vikram Mehta</t>
        </is>
      </c>
      <c r="E470" t="inlineStr">
        <is>
          <t>Tablet</t>
        </is>
      </c>
      <c r="F470" t="inlineStr">
        <is>
          <t>Electronics</t>
        </is>
      </c>
      <c r="G470" s="3" t="n">
        <v>7</v>
      </c>
      <c r="H470" s="4" t="n">
        <v>18000</v>
      </c>
      <c r="I470" s="4" t="n">
        <v>126000</v>
      </c>
      <c r="J470" s="4" t="n">
        <v>80969</v>
      </c>
      <c r="K470" s="4" t="n">
        <v>45031</v>
      </c>
    </row>
    <row r="471">
      <c r="A471" t="inlineStr">
        <is>
          <t>ORD-1470</t>
        </is>
      </c>
      <c r="B471" s="2" t="n">
        <v>45870</v>
      </c>
      <c r="C471" t="inlineStr">
        <is>
          <t>East</t>
        </is>
      </c>
      <c r="D471" t="inlineStr">
        <is>
          <t>Sourav Das</t>
        </is>
      </c>
      <c r="E471" t="inlineStr">
        <is>
          <t>Laptop</t>
        </is>
      </c>
      <c r="F471" t="inlineStr">
        <is>
          <t>Electronics</t>
        </is>
      </c>
      <c r="G471" s="3" t="n">
        <v>8</v>
      </c>
      <c r="H471" s="4" t="n">
        <v>55000</v>
      </c>
      <c r="I471" s="4" t="n">
        <v>440000</v>
      </c>
      <c r="J471" s="4" t="n">
        <v>251200</v>
      </c>
      <c r="K471" s="4" t="n">
        <v>188800</v>
      </c>
    </row>
    <row r="472">
      <c r="A472" t="inlineStr">
        <is>
          <t>ORD-1471</t>
        </is>
      </c>
      <c r="B472" s="2" t="n">
        <v>45833</v>
      </c>
      <c r="C472" t="inlineStr">
        <is>
          <t>North</t>
        </is>
      </c>
      <c r="D472" t="inlineStr">
        <is>
          <t>Priya Verma</t>
        </is>
      </c>
      <c r="E472" t="inlineStr">
        <is>
          <t>Keyboard</t>
        </is>
      </c>
      <c r="F472" t="inlineStr">
        <is>
          <t>Accessories</t>
        </is>
      </c>
      <c r="G472" s="3" t="n">
        <v>3</v>
      </c>
      <c r="H472" s="4" t="n">
        <v>2500</v>
      </c>
      <c r="I472" s="4" t="n">
        <v>7500</v>
      </c>
      <c r="J472" s="4" t="n">
        <v>4647</v>
      </c>
      <c r="K472" s="4" t="n">
        <v>2853</v>
      </c>
    </row>
    <row r="473">
      <c r="A473" t="inlineStr">
        <is>
          <t>ORD-1472</t>
        </is>
      </c>
      <c r="B473" s="2" t="n">
        <v>45707</v>
      </c>
      <c r="C473" t="inlineStr">
        <is>
          <t>South</t>
        </is>
      </c>
      <c r="D473" t="inlineStr">
        <is>
          <t>Divya Menon</t>
        </is>
      </c>
      <c r="E473" t="inlineStr">
        <is>
          <t>Headphones</t>
        </is>
      </c>
      <c r="F473" t="inlineStr">
        <is>
          <t>Accessories</t>
        </is>
      </c>
      <c r="G473" s="3" t="n">
        <v>8</v>
      </c>
      <c r="H473" s="4" t="n">
        <v>3500</v>
      </c>
      <c r="I473" s="4" t="n">
        <v>28000</v>
      </c>
      <c r="J473" s="4" t="n">
        <v>17350</v>
      </c>
      <c r="K473" s="4" t="n">
        <v>10650</v>
      </c>
    </row>
    <row r="474">
      <c r="A474" t="inlineStr">
        <is>
          <t>ORD-1473</t>
        </is>
      </c>
      <c r="B474" s="2" t="n">
        <v>46021</v>
      </c>
      <c r="C474" t="inlineStr">
        <is>
          <t>West</t>
        </is>
      </c>
      <c r="D474" t="inlineStr">
        <is>
          <t>Vikram Mehta</t>
        </is>
      </c>
      <c r="E474" t="inlineStr">
        <is>
          <t>Tablet</t>
        </is>
      </c>
      <c r="F474" t="inlineStr">
        <is>
          <t>Electronics</t>
        </is>
      </c>
      <c r="G474" s="3" t="n">
        <v>2</v>
      </c>
      <c r="H474" s="4" t="n">
        <v>18000</v>
      </c>
      <c r="I474" s="4" t="n">
        <v>36000</v>
      </c>
      <c r="J474" s="4" t="n">
        <v>21962</v>
      </c>
      <c r="K474" s="4" t="n">
        <v>14038</v>
      </c>
    </row>
    <row r="475">
      <c r="A475" t="inlineStr">
        <is>
          <t>ORD-1474</t>
        </is>
      </c>
      <c r="B475" s="2" t="n">
        <v>45742</v>
      </c>
      <c r="C475" t="inlineStr">
        <is>
          <t>North</t>
        </is>
      </c>
      <c r="D475" t="inlineStr">
        <is>
          <t>Amit Sharma</t>
        </is>
      </c>
      <c r="E475" t="inlineStr">
        <is>
          <t>Tablet</t>
        </is>
      </c>
      <c r="F475" t="inlineStr">
        <is>
          <t>Electronics</t>
        </is>
      </c>
      <c r="G475" s="3" t="n">
        <v>11</v>
      </c>
      <c r="H475" s="4" t="n">
        <v>18000</v>
      </c>
      <c r="I475" s="4" t="n">
        <v>198000</v>
      </c>
      <c r="J475" s="4" t="n">
        <v>113231</v>
      </c>
      <c r="K475" s="4" t="n">
        <v>84769</v>
      </c>
    </row>
    <row r="476">
      <c r="A476" t="inlineStr">
        <is>
          <t>ORD-1475</t>
        </is>
      </c>
      <c r="B476" s="2" t="n">
        <v>45876</v>
      </c>
      <c r="C476" t="inlineStr">
        <is>
          <t>South</t>
        </is>
      </c>
      <c r="D476" t="inlineStr">
        <is>
          <t>Divya Menon</t>
        </is>
      </c>
      <c r="E476" t="inlineStr">
        <is>
          <t>Headphones</t>
        </is>
      </c>
      <c r="F476" t="inlineStr">
        <is>
          <t>Accessories</t>
        </is>
      </c>
      <c r="G476" s="3" t="n">
        <v>3</v>
      </c>
      <c r="H476" s="4" t="n">
        <v>3500</v>
      </c>
      <c r="I476" s="4" t="n">
        <v>10500</v>
      </c>
      <c r="J476" s="4" t="n">
        <v>6470</v>
      </c>
      <c r="K476" s="4" t="n">
        <v>4030</v>
      </c>
    </row>
    <row r="477">
      <c r="A477" t="inlineStr">
        <is>
          <t>ORD-1476</t>
        </is>
      </c>
      <c r="B477" s="2" t="n">
        <v>45985</v>
      </c>
      <c r="C477" t="inlineStr">
        <is>
          <t>South</t>
        </is>
      </c>
      <c r="D477" t="inlineStr">
        <is>
          <t>Divya Menon</t>
        </is>
      </c>
      <c r="E477" t="inlineStr">
        <is>
          <t>Monitor</t>
        </is>
      </c>
      <c r="F477" t="inlineStr">
        <is>
          <t>Electronics</t>
        </is>
      </c>
      <c r="G477" s="3" t="n">
        <v>11</v>
      </c>
      <c r="H477" s="4" t="n">
        <v>14000</v>
      </c>
      <c r="I477" s="4" t="n">
        <v>154000</v>
      </c>
      <c r="J477" s="4" t="n">
        <v>90381</v>
      </c>
      <c r="K477" s="4" t="n">
        <v>63619</v>
      </c>
    </row>
    <row r="478">
      <c r="A478" t="inlineStr">
        <is>
          <t>ORD-1477</t>
        </is>
      </c>
      <c r="B478" s="2" t="n">
        <v>45759</v>
      </c>
      <c r="C478" t="inlineStr">
        <is>
          <t>West</t>
        </is>
      </c>
      <c r="D478" t="inlineStr">
        <is>
          <t>Kavita Patil</t>
        </is>
      </c>
      <c r="E478" t="inlineStr">
        <is>
          <t>Laptop</t>
        </is>
      </c>
      <c r="F478" t="inlineStr">
        <is>
          <t>Electronics</t>
        </is>
      </c>
      <c r="G478" s="3" t="n">
        <v>12</v>
      </c>
      <c r="H478" s="4" t="n">
        <v>55000</v>
      </c>
      <c r="I478" s="4" t="n">
        <v>660000</v>
      </c>
      <c r="J478" s="4" t="n">
        <v>444062</v>
      </c>
      <c r="K478" s="4" t="n">
        <v>215938</v>
      </c>
    </row>
    <row r="479">
      <c r="A479" t="inlineStr">
        <is>
          <t>ORD-1478</t>
        </is>
      </c>
      <c r="B479" s="2" t="n">
        <v>45763</v>
      </c>
      <c r="C479" t="inlineStr">
        <is>
          <t>West</t>
        </is>
      </c>
      <c r="D479" t="inlineStr">
        <is>
          <t>Kavita Patil</t>
        </is>
      </c>
      <c r="E479" t="inlineStr">
        <is>
          <t>Monitor</t>
        </is>
      </c>
      <c r="F479" t="inlineStr">
        <is>
          <t>Electronics</t>
        </is>
      </c>
      <c r="G479" s="3" t="n">
        <v>1</v>
      </c>
      <c r="H479" s="4" t="n">
        <v>14000</v>
      </c>
      <c r="I479" s="4" t="n">
        <v>14000</v>
      </c>
      <c r="J479" s="4" t="n">
        <v>9673</v>
      </c>
      <c r="K479" s="4" t="n">
        <v>4327</v>
      </c>
    </row>
    <row r="480">
      <c r="A480" t="inlineStr">
        <is>
          <t>ORD-1479</t>
        </is>
      </c>
      <c r="B480" s="2" t="n">
        <v>45932</v>
      </c>
      <c r="C480" t="inlineStr">
        <is>
          <t>North</t>
        </is>
      </c>
      <c r="D480" t="inlineStr">
        <is>
          <t>Amit Sharma</t>
        </is>
      </c>
      <c r="E480" t="inlineStr">
        <is>
          <t>Headphones</t>
        </is>
      </c>
      <c r="F480" t="inlineStr">
        <is>
          <t>Accessories</t>
        </is>
      </c>
      <c r="G480" s="3" t="n">
        <v>2</v>
      </c>
      <c r="H480" s="4" t="n">
        <v>3500</v>
      </c>
      <c r="I480" s="4" t="n">
        <v>7000</v>
      </c>
      <c r="J480" s="4" t="n">
        <v>4969</v>
      </c>
      <c r="K480" s="4" t="n">
        <v>2031</v>
      </c>
    </row>
    <row r="481">
      <c r="A481" t="inlineStr">
        <is>
          <t>ORD-1480</t>
        </is>
      </c>
      <c r="B481" s="2" t="n">
        <v>45792</v>
      </c>
      <c r="C481" t="inlineStr">
        <is>
          <t>East</t>
        </is>
      </c>
      <c r="D481" t="inlineStr">
        <is>
          <t>Anita Roy</t>
        </is>
      </c>
      <c r="E481" t="inlineStr">
        <is>
          <t>Tablet</t>
        </is>
      </c>
      <c r="F481" t="inlineStr">
        <is>
          <t>Electronics</t>
        </is>
      </c>
      <c r="G481" s="3" t="n">
        <v>4</v>
      </c>
      <c r="H481" s="4" t="n">
        <v>18000</v>
      </c>
      <c r="I481" s="4" t="n">
        <v>72000</v>
      </c>
      <c r="J481" s="4" t="n">
        <v>46189</v>
      </c>
      <c r="K481" s="4" t="n">
        <v>25811</v>
      </c>
    </row>
    <row r="482">
      <c r="A482" t="inlineStr">
        <is>
          <t>ORD-1481</t>
        </is>
      </c>
      <c r="B482" s="2" t="n">
        <v>45958</v>
      </c>
      <c r="C482" t="inlineStr">
        <is>
          <t>East</t>
        </is>
      </c>
      <c r="D482" t="inlineStr">
        <is>
          <t>Sourav Das</t>
        </is>
      </c>
      <c r="E482" t="inlineStr">
        <is>
          <t>Headphones</t>
        </is>
      </c>
      <c r="F482" t="inlineStr">
        <is>
          <t>Accessories</t>
        </is>
      </c>
      <c r="G482" s="3" t="n">
        <v>7</v>
      </c>
      <c r="H482" s="4" t="n">
        <v>3500</v>
      </c>
      <c r="I482" s="4" t="n">
        <v>24500</v>
      </c>
      <c r="J482" s="4" t="n">
        <v>16470</v>
      </c>
      <c r="K482" s="4" t="n">
        <v>8030</v>
      </c>
    </row>
    <row r="483">
      <c r="A483" t="inlineStr">
        <is>
          <t>ORD-1482</t>
        </is>
      </c>
      <c r="B483" s="2" t="n">
        <v>46002</v>
      </c>
      <c r="C483" t="inlineStr">
        <is>
          <t>East</t>
        </is>
      </c>
      <c r="D483" t="inlineStr">
        <is>
          <t>Anita Roy</t>
        </is>
      </c>
      <c r="E483" t="inlineStr">
        <is>
          <t>Tablet</t>
        </is>
      </c>
      <c r="F483" t="inlineStr">
        <is>
          <t>Electronics</t>
        </is>
      </c>
      <c r="G483" s="3" t="n">
        <v>8</v>
      </c>
      <c r="H483" s="4" t="n">
        <v>18000</v>
      </c>
      <c r="I483" s="4" t="n">
        <v>144000</v>
      </c>
      <c r="J483" s="4" t="n">
        <v>96980</v>
      </c>
      <c r="K483" s="4" t="n">
        <v>47020</v>
      </c>
    </row>
    <row r="484">
      <c r="A484" t="inlineStr">
        <is>
          <t>ORD-1483</t>
        </is>
      </c>
      <c r="B484" s="2" t="n">
        <v>45780</v>
      </c>
      <c r="C484" t="inlineStr">
        <is>
          <t>North</t>
        </is>
      </c>
      <c r="D484" t="inlineStr">
        <is>
          <t>Priya Verma</t>
        </is>
      </c>
      <c r="E484" t="inlineStr">
        <is>
          <t>Keyboard</t>
        </is>
      </c>
      <c r="F484" t="inlineStr">
        <is>
          <t>Accessories</t>
        </is>
      </c>
      <c r="G484" s="3" t="n">
        <v>3</v>
      </c>
      <c r="H484" s="4" t="n">
        <v>2500</v>
      </c>
      <c r="I484" s="4" t="n">
        <v>7500</v>
      </c>
      <c r="J484" s="4" t="n">
        <v>4595</v>
      </c>
      <c r="K484" s="4" t="n">
        <v>2905</v>
      </c>
    </row>
    <row r="485">
      <c r="A485" t="inlineStr">
        <is>
          <t>ORD-1484</t>
        </is>
      </c>
      <c r="B485" s="2" t="n">
        <v>45919</v>
      </c>
      <c r="C485" t="inlineStr">
        <is>
          <t>North</t>
        </is>
      </c>
      <c r="D485" t="inlineStr">
        <is>
          <t>Priya Verma</t>
        </is>
      </c>
      <c r="E485" t="inlineStr">
        <is>
          <t>Smartphone</t>
        </is>
      </c>
      <c r="F485" t="inlineStr">
        <is>
          <t>Electronics</t>
        </is>
      </c>
      <c r="G485" s="3" t="n">
        <v>6</v>
      </c>
      <c r="H485" s="4" t="n">
        <v>22000</v>
      </c>
      <c r="I485" s="4" t="n">
        <v>132000</v>
      </c>
      <c r="J485" s="4" t="n">
        <v>90907</v>
      </c>
      <c r="K485" s="4" t="n">
        <v>41093</v>
      </c>
    </row>
    <row r="486">
      <c r="A486" t="inlineStr">
        <is>
          <t>ORD-1485</t>
        </is>
      </c>
      <c r="B486" s="2" t="n">
        <v>45874</v>
      </c>
      <c r="C486" t="inlineStr">
        <is>
          <t>West</t>
        </is>
      </c>
      <c r="D486" t="inlineStr">
        <is>
          <t>Vikram Mehta</t>
        </is>
      </c>
      <c r="E486" t="inlineStr">
        <is>
          <t>Headphones</t>
        </is>
      </c>
      <c r="F486" t="inlineStr">
        <is>
          <t>Accessories</t>
        </is>
      </c>
      <c r="G486" s="3" t="n">
        <v>3</v>
      </c>
      <c r="H486" s="4" t="n">
        <v>3500</v>
      </c>
      <c r="I486" s="4" t="n">
        <v>10500</v>
      </c>
      <c r="J486" s="4" t="n">
        <v>6982</v>
      </c>
      <c r="K486" s="4" t="n">
        <v>3518</v>
      </c>
    </row>
    <row r="487">
      <c r="A487" t="inlineStr">
        <is>
          <t>ORD-1486</t>
        </is>
      </c>
      <c r="B487" s="2" t="n">
        <v>45988</v>
      </c>
      <c r="C487" t="inlineStr">
        <is>
          <t>West</t>
        </is>
      </c>
      <c r="D487" t="inlineStr">
        <is>
          <t>Vikram Mehta</t>
        </is>
      </c>
      <c r="E487" t="inlineStr">
        <is>
          <t>Keyboard</t>
        </is>
      </c>
      <c r="F487" t="inlineStr">
        <is>
          <t>Accessories</t>
        </is>
      </c>
      <c r="G487" s="3" t="n">
        <v>9</v>
      </c>
      <c r="H487" s="4" t="n">
        <v>2500</v>
      </c>
      <c r="I487" s="4" t="n">
        <v>22500</v>
      </c>
      <c r="J487" s="4" t="n">
        <v>15495</v>
      </c>
      <c r="K487" s="4" t="n">
        <v>7005</v>
      </c>
    </row>
    <row r="488">
      <c r="A488" t="inlineStr">
        <is>
          <t>ORD-1487</t>
        </is>
      </c>
      <c r="B488" s="2" t="n">
        <v>45819</v>
      </c>
      <c r="C488" t="inlineStr">
        <is>
          <t>South</t>
        </is>
      </c>
      <c r="D488" t="inlineStr">
        <is>
          <t>Divya Menon</t>
        </is>
      </c>
      <c r="E488" t="inlineStr">
        <is>
          <t>Monitor</t>
        </is>
      </c>
      <c r="F488" t="inlineStr">
        <is>
          <t>Electronics</t>
        </is>
      </c>
      <c r="G488" s="3" t="n">
        <v>5</v>
      </c>
      <c r="H488" s="4" t="n">
        <v>14000</v>
      </c>
      <c r="I488" s="4" t="n">
        <v>70000</v>
      </c>
      <c r="J488" s="4" t="n">
        <v>40464</v>
      </c>
      <c r="K488" s="4" t="n">
        <v>29536</v>
      </c>
    </row>
    <row r="489">
      <c r="A489" t="inlineStr">
        <is>
          <t>ORD-1488</t>
        </is>
      </c>
      <c r="B489" s="2" t="n">
        <v>45757</v>
      </c>
      <c r="C489" t="inlineStr">
        <is>
          <t>North</t>
        </is>
      </c>
      <c r="D489" t="inlineStr">
        <is>
          <t>Priya Verma</t>
        </is>
      </c>
      <c r="E489" t="inlineStr">
        <is>
          <t>Tablet</t>
        </is>
      </c>
      <c r="F489" t="inlineStr">
        <is>
          <t>Electronics</t>
        </is>
      </c>
      <c r="G489" s="3" t="n">
        <v>1</v>
      </c>
      <c r="H489" s="4" t="n">
        <v>18000</v>
      </c>
      <c r="I489" s="4" t="n">
        <v>18000</v>
      </c>
      <c r="J489" s="4" t="n">
        <v>11645</v>
      </c>
      <c r="K489" s="4" t="n">
        <v>6355</v>
      </c>
    </row>
    <row r="490">
      <c r="A490" t="inlineStr">
        <is>
          <t>ORD-1489</t>
        </is>
      </c>
      <c r="B490" s="2" t="n">
        <v>46021</v>
      </c>
      <c r="C490" t="inlineStr">
        <is>
          <t>West</t>
        </is>
      </c>
      <c r="D490" t="inlineStr">
        <is>
          <t>Kavita Patil</t>
        </is>
      </c>
      <c r="E490" t="inlineStr">
        <is>
          <t>Monitor</t>
        </is>
      </c>
      <c r="F490" t="inlineStr">
        <is>
          <t>Electronics</t>
        </is>
      </c>
      <c r="G490" s="3" t="n">
        <v>11</v>
      </c>
      <c r="H490" s="4" t="n">
        <v>14000</v>
      </c>
      <c r="I490" s="4" t="n">
        <v>154000</v>
      </c>
      <c r="J490" s="4" t="n">
        <v>99845</v>
      </c>
      <c r="K490" s="4" t="n">
        <v>54155</v>
      </c>
    </row>
    <row r="491">
      <c r="A491" t="inlineStr">
        <is>
          <t>ORD-1490</t>
        </is>
      </c>
      <c r="B491" s="2" t="n">
        <v>45770</v>
      </c>
      <c r="C491" t="inlineStr">
        <is>
          <t>West</t>
        </is>
      </c>
      <c r="D491" t="inlineStr">
        <is>
          <t>Kavita Patil</t>
        </is>
      </c>
      <c r="E491" t="inlineStr">
        <is>
          <t>Smartphone</t>
        </is>
      </c>
      <c r="F491" t="inlineStr">
        <is>
          <t>Electronics</t>
        </is>
      </c>
      <c r="G491" s="3" t="n">
        <v>2</v>
      </c>
      <c r="H491" s="4" t="n">
        <v>22000</v>
      </c>
      <c r="I491" s="4" t="n">
        <v>44000</v>
      </c>
      <c r="J491" s="4" t="n">
        <v>29176</v>
      </c>
      <c r="K491" s="4" t="n">
        <v>14824</v>
      </c>
    </row>
    <row r="492">
      <c r="A492" t="inlineStr">
        <is>
          <t>ORD-1491</t>
        </is>
      </c>
      <c r="B492" s="2" t="n">
        <v>45744</v>
      </c>
      <c r="C492" t="inlineStr">
        <is>
          <t>North</t>
        </is>
      </c>
      <c r="D492" t="inlineStr">
        <is>
          <t>Priya Verma</t>
        </is>
      </c>
      <c r="E492" t="inlineStr">
        <is>
          <t>Tablet</t>
        </is>
      </c>
      <c r="F492" t="inlineStr">
        <is>
          <t>Electronics</t>
        </is>
      </c>
      <c r="G492" s="3" t="n">
        <v>4</v>
      </c>
      <c r="H492" s="4" t="n">
        <v>18000</v>
      </c>
      <c r="I492" s="4" t="n">
        <v>72000</v>
      </c>
      <c r="J492" s="4" t="n">
        <v>47342</v>
      </c>
      <c r="K492" s="4" t="n">
        <v>24658</v>
      </c>
    </row>
    <row r="493">
      <c r="A493" t="inlineStr">
        <is>
          <t>ORD-1492</t>
        </is>
      </c>
      <c r="B493" s="2" t="n">
        <v>45716</v>
      </c>
      <c r="C493" t="inlineStr">
        <is>
          <t>West</t>
        </is>
      </c>
      <c r="D493" t="inlineStr">
        <is>
          <t>Kavita Patil</t>
        </is>
      </c>
      <c r="E493" t="inlineStr">
        <is>
          <t>Headphones</t>
        </is>
      </c>
      <c r="F493" t="inlineStr">
        <is>
          <t>Accessories</t>
        </is>
      </c>
      <c r="G493" s="3" t="n">
        <v>9</v>
      </c>
      <c r="H493" s="4" t="n">
        <v>3500</v>
      </c>
      <c r="I493" s="4" t="n">
        <v>31500</v>
      </c>
      <c r="J493" s="4" t="n">
        <v>18038</v>
      </c>
      <c r="K493" s="4" t="n">
        <v>13462</v>
      </c>
    </row>
    <row r="494">
      <c r="A494" t="inlineStr">
        <is>
          <t>ORD-1493</t>
        </is>
      </c>
      <c r="B494" s="2" t="n">
        <v>45883</v>
      </c>
      <c r="C494" t="inlineStr">
        <is>
          <t>East</t>
        </is>
      </c>
      <c r="D494" t="inlineStr">
        <is>
          <t>Sourav Das</t>
        </is>
      </c>
      <c r="E494" t="inlineStr">
        <is>
          <t>Headphones</t>
        </is>
      </c>
      <c r="F494" t="inlineStr">
        <is>
          <t>Accessories</t>
        </is>
      </c>
      <c r="G494" s="3" t="n">
        <v>1</v>
      </c>
      <c r="H494" s="4" t="n">
        <v>3500</v>
      </c>
      <c r="I494" s="4" t="n">
        <v>3500</v>
      </c>
      <c r="J494" s="4" t="n">
        <v>2457</v>
      </c>
      <c r="K494" s="4" t="n">
        <v>1043</v>
      </c>
    </row>
    <row r="495">
      <c r="A495" t="inlineStr">
        <is>
          <t>ORD-1494</t>
        </is>
      </c>
      <c r="B495" s="2" t="n">
        <v>45784</v>
      </c>
      <c r="C495" t="inlineStr">
        <is>
          <t>West</t>
        </is>
      </c>
      <c r="D495" t="inlineStr">
        <is>
          <t>Kavita Patil</t>
        </is>
      </c>
      <c r="E495" t="inlineStr">
        <is>
          <t>Laptop</t>
        </is>
      </c>
      <c r="F495" t="inlineStr">
        <is>
          <t>Electronics</t>
        </is>
      </c>
      <c r="G495" s="3" t="n">
        <v>12</v>
      </c>
      <c r="H495" s="4" t="n">
        <v>55000</v>
      </c>
      <c r="I495" s="4" t="n">
        <v>660000</v>
      </c>
      <c r="J495" s="4" t="n">
        <v>472569</v>
      </c>
      <c r="K495" s="4" t="n">
        <v>187431</v>
      </c>
    </row>
    <row r="496">
      <c r="A496" t="inlineStr">
        <is>
          <t>ORD-1495</t>
        </is>
      </c>
      <c r="B496" s="2" t="n">
        <v>45702</v>
      </c>
      <c r="C496" t="inlineStr">
        <is>
          <t>North</t>
        </is>
      </c>
      <c r="D496" t="inlineStr">
        <is>
          <t>Priya Verma</t>
        </is>
      </c>
      <c r="E496" t="inlineStr">
        <is>
          <t>Monitor</t>
        </is>
      </c>
      <c r="F496" t="inlineStr">
        <is>
          <t>Electronics</t>
        </is>
      </c>
      <c r="G496" s="3" t="n">
        <v>5</v>
      </c>
      <c r="H496" s="4" t="n">
        <v>14000</v>
      </c>
      <c r="I496" s="4" t="n">
        <v>70000</v>
      </c>
      <c r="J496" s="4" t="n">
        <v>43380</v>
      </c>
      <c r="K496" s="4" t="n">
        <v>26620</v>
      </c>
    </row>
    <row r="497">
      <c r="A497" t="inlineStr">
        <is>
          <t>ORD-1496</t>
        </is>
      </c>
      <c r="B497" s="2" t="n">
        <v>45959</v>
      </c>
      <c r="C497" t="inlineStr">
        <is>
          <t>North</t>
        </is>
      </c>
      <c r="D497" t="inlineStr">
        <is>
          <t>Priya Verma</t>
        </is>
      </c>
      <c r="E497" t="inlineStr">
        <is>
          <t>Smartphone</t>
        </is>
      </c>
      <c r="F497" t="inlineStr">
        <is>
          <t>Electronics</t>
        </is>
      </c>
      <c r="G497" s="3" t="n">
        <v>4</v>
      </c>
      <c r="H497" s="4" t="n">
        <v>22000</v>
      </c>
      <c r="I497" s="4" t="n">
        <v>88000</v>
      </c>
      <c r="J497" s="4" t="n">
        <v>62668</v>
      </c>
      <c r="K497" s="4" t="n">
        <v>25332</v>
      </c>
    </row>
    <row r="498">
      <c r="A498" t="inlineStr">
        <is>
          <t>ORD-1497</t>
        </is>
      </c>
      <c r="B498" s="2" t="n">
        <v>45763</v>
      </c>
      <c r="C498" t="inlineStr">
        <is>
          <t>West</t>
        </is>
      </c>
      <c r="D498" t="inlineStr">
        <is>
          <t>Vikram Mehta</t>
        </is>
      </c>
      <c r="E498" t="inlineStr">
        <is>
          <t>Smartphone</t>
        </is>
      </c>
      <c r="F498" t="inlineStr">
        <is>
          <t>Electronics</t>
        </is>
      </c>
      <c r="G498" s="3" t="n">
        <v>10</v>
      </c>
      <c r="H498" s="4" t="n">
        <v>22000</v>
      </c>
      <c r="I498" s="4" t="n">
        <v>220000</v>
      </c>
      <c r="J498" s="4" t="n">
        <v>127126</v>
      </c>
      <c r="K498" s="4" t="n">
        <v>92874</v>
      </c>
    </row>
    <row r="499">
      <c r="A499" t="inlineStr">
        <is>
          <t>ORD-1498</t>
        </is>
      </c>
      <c r="B499" s="2" t="n">
        <v>45963</v>
      </c>
      <c r="C499" t="inlineStr">
        <is>
          <t>North</t>
        </is>
      </c>
      <c r="D499" t="inlineStr">
        <is>
          <t>Amit Sharma</t>
        </is>
      </c>
      <c r="E499" t="inlineStr">
        <is>
          <t>Headphones</t>
        </is>
      </c>
      <c r="F499" t="inlineStr">
        <is>
          <t>Accessories</t>
        </is>
      </c>
      <c r="G499" s="3" t="n">
        <v>6</v>
      </c>
      <c r="H499" s="4" t="n">
        <v>3500</v>
      </c>
      <c r="I499" s="4" t="n">
        <v>21000</v>
      </c>
      <c r="J499" s="4" t="n">
        <v>13786</v>
      </c>
      <c r="K499" s="4" t="n">
        <v>7214</v>
      </c>
    </row>
    <row r="500">
      <c r="A500" t="inlineStr">
        <is>
          <t>ORD-1499</t>
        </is>
      </c>
      <c r="B500" s="2" t="n">
        <v>45794</v>
      </c>
      <c r="C500" t="inlineStr">
        <is>
          <t>East</t>
        </is>
      </c>
      <c r="D500" t="inlineStr">
        <is>
          <t>Sourav Das</t>
        </is>
      </c>
      <c r="E500" t="inlineStr">
        <is>
          <t>Keyboard</t>
        </is>
      </c>
      <c r="F500" t="inlineStr">
        <is>
          <t>Accessories</t>
        </is>
      </c>
      <c r="G500" s="3" t="n">
        <v>5</v>
      </c>
      <c r="H500" s="4" t="n">
        <v>2500</v>
      </c>
      <c r="I500" s="4" t="n">
        <v>12500</v>
      </c>
      <c r="J500" s="4" t="n">
        <v>7598</v>
      </c>
      <c r="K500" s="4" t="n">
        <v>4902</v>
      </c>
    </row>
    <row r="501">
      <c r="A501" t="inlineStr">
        <is>
          <t>ORD-1500</t>
        </is>
      </c>
      <c r="B501" s="2" t="n">
        <v>45993</v>
      </c>
      <c r="C501" t="inlineStr">
        <is>
          <t>South</t>
        </is>
      </c>
      <c r="D501" t="inlineStr">
        <is>
          <t>Ravi Nair</t>
        </is>
      </c>
      <c r="E501" t="inlineStr">
        <is>
          <t>Monitor</t>
        </is>
      </c>
      <c r="F501" t="inlineStr">
        <is>
          <t>Electronics</t>
        </is>
      </c>
      <c r="G501" s="3" t="n">
        <v>1</v>
      </c>
      <c r="H501" s="4" t="n">
        <v>14000</v>
      </c>
      <c r="I501" s="4" t="n">
        <v>14000</v>
      </c>
      <c r="J501" s="4" t="n">
        <v>10479</v>
      </c>
      <c r="K501" s="4" t="n">
        <v>3521</v>
      </c>
    </row>
  </sheetData>
  <autoFilter ref="A1:K501"/>
  <conditionalFormatting sqref="I2:I501">
    <cfRule type="cellIs" priority="1" operator="greaterThan" dxfId="0">
      <formula>100000</formula>
    </cfRule>
  </conditionalFormatting>
  <conditionalFormatting sqref="K2:K501">
    <cfRule type="cellIs" priority="2" operator="lessThan" dxfId="1">
      <formula>5000</formula>
    </cfRule>
  </conditionalFormatting>
  <dataValidations count="2">
    <dataValidation sqref="C2:C501" showDropDown="0" showInputMessage="0" showErrorMessage="0" allowBlank="0" error="Pick a region from the list" prompt="Choose region" type="list">
      <formula1>"North,South,East,West"</formula1>
    </dataValidation>
    <dataValidation sqref="F2:F501" showDropDown="0" showInputMessage="0" showErrorMessage="0" allowBlank="0" type="list">
      <formula1>"Electronics,Accessories"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6" customWidth="1" min="4" max="4"/>
    <col width="10" customWidth="1" min="5" max="5"/>
    <col width="16" customWidth="1" min="6" max="6"/>
    <col width="14" customWidth="1" min="7" max="7"/>
    <col width="10" customWidth="1" min="8" max="8"/>
    <col width="12" customWidth="1" min="9" max="9"/>
    <col width="16" customWidth="1" min="10" max="10"/>
    <col width="14" customWidth="1" min="11" max="11"/>
    <col width="12" customWidth="1" min="12" max="12"/>
  </cols>
  <sheetData>
    <row r="1" ht="30" customHeight="1">
      <c r="A1" s="5" t="inlineStr">
        <is>
          <t>Sales Performance Dashboard — 2025</t>
        </is>
      </c>
    </row>
    <row r="2">
      <c r="A2" s="6" t="inlineStr">
        <is>
          <t>All figures below are live Excel formulas reading the Data sheet — change any row and the dashboard updates.</t>
        </is>
      </c>
    </row>
    <row r="3">
      <c r="B3" s="7" t="inlineStr">
        <is>
          <t>Total Revenue</t>
        </is>
      </c>
      <c r="D3" s="7" t="inlineStr">
        <is>
          <t>Total Orders</t>
        </is>
      </c>
      <c r="F3" s="7" t="inlineStr">
        <is>
          <t>Avg Order Value</t>
        </is>
      </c>
      <c r="H3" s="7" t="inlineStr">
        <is>
          <t>Total Profit</t>
        </is>
      </c>
      <c r="J3" s="7" t="inlineStr">
        <is>
          <t>Top Product</t>
        </is>
      </c>
    </row>
    <row r="4" ht="24" customHeight="1">
      <c r="B4" s="8">
        <f>SUM(Data!I2:I501)</f>
        <v/>
      </c>
      <c r="D4" s="9">
        <f>COUNTA(Data!A2:A501)</f>
        <v/>
      </c>
      <c r="F4" s="8">
        <f>AVERAGE(Data!I2:I501)</f>
        <v/>
      </c>
      <c r="H4" s="8">
        <f>SUM(Data!K2:K501)</f>
        <v/>
      </c>
      <c r="J4" s="10">
        <f>XLOOKUP(MAX(K11:K16),K11:K16,J11:J16)</f>
        <v/>
      </c>
    </row>
    <row r="9">
      <c r="A9" s="11" t="inlineStr">
        <is>
          <t>Monthly trend (formula-driven)</t>
        </is>
      </c>
      <c r="F9" s="11" t="inlineStr">
        <is>
          <t>Revenue by region</t>
        </is>
      </c>
      <c r="J9" s="11" t="inlineStr">
        <is>
          <t>Revenue by product</t>
        </is>
      </c>
    </row>
    <row r="10">
      <c r="A10" s="1" t="inlineStr">
        <is>
          <t>Month</t>
        </is>
      </c>
      <c r="B10" s="1" t="inlineStr">
        <is>
          <t>Revenue</t>
        </is>
      </c>
      <c r="C10" s="1" t="inlineStr">
        <is>
          <t>Orders</t>
        </is>
      </c>
      <c r="D10" s="1" t="inlineStr">
        <is>
          <t>Avg Order</t>
        </is>
      </c>
      <c r="F10" t="inlineStr">
        <is>
          <t>Region</t>
        </is>
      </c>
      <c r="G10" t="inlineStr">
        <is>
          <t>Revenue</t>
        </is>
      </c>
      <c r="H10" t="inlineStr">
        <is>
          <t>Orders</t>
        </is>
      </c>
      <c r="J10" t="inlineStr">
        <is>
          <t>Product</t>
        </is>
      </c>
      <c r="K10" t="inlineStr">
        <is>
          <t>Revenue</t>
        </is>
      </c>
    </row>
    <row r="11">
      <c r="A11" s="12" t="n">
        <v>45658</v>
      </c>
      <c r="B11" s="13">
        <f>SUMIFS(Data!I$2:I$501,Data!B$2:B$501,"&gt;="&amp;A11,Data!B$2:B$501,"&lt;"&amp;EDATE(A11,1))</f>
        <v/>
      </c>
      <c r="C11" s="14">
        <f>COUNTIFS(Data!B$2:B$501,"&gt;="&amp;A11,Data!B$2:B$501,"&lt;"&amp;EDATE(A11,1))</f>
        <v/>
      </c>
      <c r="D11" s="13">
        <f>IF(C11=0,0,B11/C11)</f>
        <v/>
      </c>
      <c r="F11" s="14" t="inlineStr">
        <is>
          <t>North</t>
        </is>
      </c>
      <c r="G11" s="13">
        <f>SUMIFS(Data!I$2:I$501,Data!C$2:C$501,F11)</f>
        <v/>
      </c>
      <c r="H11" s="14">
        <f>COUNTIFS(Data!C$2:C$501,F11)</f>
        <v/>
      </c>
      <c r="J11" s="14" t="inlineStr">
        <is>
          <t>Laptop</t>
        </is>
      </c>
      <c r="K11" s="13">
        <f>SUMIFS(Data!I$2:I$501,Data!E$2:E$501,J11)</f>
        <v/>
      </c>
    </row>
    <row r="12">
      <c r="A12" s="12" t="n">
        <v>45689</v>
      </c>
      <c r="B12" s="13">
        <f>SUMIFS(Data!I$2:I$501,Data!B$2:B$501,"&gt;="&amp;A12,Data!B$2:B$501,"&lt;"&amp;EDATE(A12,1))</f>
        <v/>
      </c>
      <c r="C12" s="14">
        <f>COUNTIFS(Data!B$2:B$501,"&gt;="&amp;A12,Data!B$2:B$501,"&lt;"&amp;EDATE(A12,1))</f>
        <v/>
      </c>
      <c r="D12" s="13">
        <f>IF(C12=0,0,B12/C12)</f>
        <v/>
      </c>
      <c r="F12" s="14" t="inlineStr">
        <is>
          <t>South</t>
        </is>
      </c>
      <c r="G12" s="13">
        <f>SUMIFS(Data!I$2:I$501,Data!C$2:C$501,F12)</f>
        <v/>
      </c>
      <c r="H12" s="14">
        <f>COUNTIFS(Data!C$2:C$501,F12)</f>
        <v/>
      </c>
      <c r="J12" s="14" t="inlineStr">
        <is>
          <t>Smartphone</t>
        </is>
      </c>
      <c r="K12" s="13">
        <f>SUMIFS(Data!I$2:I$501,Data!E$2:E$501,J12)</f>
        <v/>
      </c>
    </row>
    <row r="13">
      <c r="A13" s="12" t="n">
        <v>45717</v>
      </c>
      <c r="B13" s="13">
        <f>SUMIFS(Data!I$2:I$501,Data!B$2:B$501,"&gt;="&amp;A13,Data!B$2:B$501,"&lt;"&amp;EDATE(A13,1))</f>
        <v/>
      </c>
      <c r="C13" s="14">
        <f>COUNTIFS(Data!B$2:B$501,"&gt;="&amp;A13,Data!B$2:B$501,"&lt;"&amp;EDATE(A13,1))</f>
        <v/>
      </c>
      <c r="D13" s="13">
        <f>IF(C13=0,0,B13/C13)</f>
        <v/>
      </c>
      <c r="F13" s="14" t="inlineStr">
        <is>
          <t>East</t>
        </is>
      </c>
      <c r="G13" s="13">
        <f>SUMIFS(Data!I$2:I$501,Data!C$2:C$501,F13)</f>
        <v/>
      </c>
      <c r="H13" s="14">
        <f>COUNTIFS(Data!C$2:C$501,F13)</f>
        <v/>
      </c>
      <c r="J13" s="14" t="inlineStr">
        <is>
          <t>Tablet</t>
        </is>
      </c>
      <c r="K13" s="13">
        <f>SUMIFS(Data!I$2:I$501,Data!E$2:E$501,J13)</f>
        <v/>
      </c>
    </row>
    <row r="14">
      <c r="A14" s="12" t="n">
        <v>45748</v>
      </c>
      <c r="B14" s="13">
        <f>SUMIFS(Data!I$2:I$501,Data!B$2:B$501,"&gt;="&amp;A14,Data!B$2:B$501,"&lt;"&amp;EDATE(A14,1))</f>
        <v/>
      </c>
      <c r="C14" s="14">
        <f>COUNTIFS(Data!B$2:B$501,"&gt;="&amp;A14,Data!B$2:B$501,"&lt;"&amp;EDATE(A14,1))</f>
        <v/>
      </c>
      <c r="D14" s="13">
        <f>IF(C14=0,0,B14/C14)</f>
        <v/>
      </c>
      <c r="F14" s="14" t="inlineStr">
        <is>
          <t>West</t>
        </is>
      </c>
      <c r="G14" s="13">
        <f>SUMIFS(Data!I$2:I$501,Data!C$2:C$501,F14)</f>
        <v/>
      </c>
      <c r="H14" s="14">
        <f>COUNTIFS(Data!C$2:C$501,F14)</f>
        <v/>
      </c>
      <c r="J14" s="14" t="inlineStr">
        <is>
          <t>Monitor</t>
        </is>
      </c>
      <c r="K14" s="13">
        <f>SUMIFS(Data!I$2:I$501,Data!E$2:E$501,J14)</f>
        <v/>
      </c>
    </row>
    <row r="15">
      <c r="A15" s="12" t="n">
        <v>45778</v>
      </c>
      <c r="B15" s="13">
        <f>SUMIFS(Data!I$2:I$501,Data!B$2:B$501,"&gt;="&amp;A15,Data!B$2:B$501,"&lt;"&amp;EDATE(A15,1))</f>
        <v/>
      </c>
      <c r="C15" s="14">
        <f>COUNTIFS(Data!B$2:B$501,"&gt;="&amp;A15,Data!B$2:B$501,"&lt;"&amp;EDATE(A15,1))</f>
        <v/>
      </c>
      <c r="D15" s="13">
        <f>IF(C15=0,0,B15/C15)</f>
        <v/>
      </c>
      <c r="J15" s="14" t="inlineStr">
        <is>
          <t>Headphones</t>
        </is>
      </c>
      <c r="K15" s="13">
        <f>SUMIFS(Data!I$2:I$501,Data!E$2:E$501,J15)</f>
        <v/>
      </c>
    </row>
    <row r="16">
      <c r="A16" s="12" t="n">
        <v>45809</v>
      </c>
      <c r="B16" s="13">
        <f>SUMIFS(Data!I$2:I$501,Data!B$2:B$501,"&gt;="&amp;A16,Data!B$2:B$501,"&lt;"&amp;EDATE(A16,1))</f>
        <v/>
      </c>
      <c r="C16" s="14">
        <f>COUNTIFS(Data!B$2:B$501,"&gt;="&amp;A16,Data!B$2:B$501,"&lt;"&amp;EDATE(A16,1))</f>
        <v/>
      </c>
      <c r="D16" s="13">
        <f>IF(C16=0,0,B16/C16)</f>
        <v/>
      </c>
      <c r="J16" s="14" t="inlineStr">
        <is>
          <t>Keyboard</t>
        </is>
      </c>
      <c r="K16" s="13">
        <f>SUMIFS(Data!I$2:I$501,Data!E$2:E$501,J16)</f>
        <v/>
      </c>
    </row>
    <row r="17">
      <c r="A17" s="12" t="n">
        <v>45839</v>
      </c>
      <c r="B17" s="13">
        <f>SUMIFS(Data!I$2:I$501,Data!B$2:B$501,"&gt;="&amp;A17,Data!B$2:B$501,"&lt;"&amp;EDATE(A17,1))</f>
        <v/>
      </c>
      <c r="C17" s="14">
        <f>COUNTIFS(Data!B$2:B$501,"&gt;="&amp;A17,Data!B$2:B$501,"&lt;"&amp;EDATE(A17,1))</f>
        <v/>
      </c>
      <c r="D17" s="13">
        <f>IF(C17=0,0,B17/C17)</f>
        <v/>
      </c>
    </row>
    <row r="18">
      <c r="A18" s="12" t="n">
        <v>45870</v>
      </c>
      <c r="B18" s="13">
        <f>SUMIFS(Data!I$2:I$501,Data!B$2:B$501,"&gt;="&amp;A18,Data!B$2:B$501,"&lt;"&amp;EDATE(A18,1))</f>
        <v/>
      </c>
      <c r="C18" s="14">
        <f>COUNTIFS(Data!B$2:B$501,"&gt;="&amp;A18,Data!B$2:B$501,"&lt;"&amp;EDATE(A18,1))</f>
        <v/>
      </c>
      <c r="D18" s="13">
        <f>IF(C18=0,0,B18/C18)</f>
        <v/>
      </c>
    </row>
    <row r="19">
      <c r="A19" s="12" t="n">
        <v>45901</v>
      </c>
      <c r="B19" s="13">
        <f>SUMIFS(Data!I$2:I$501,Data!B$2:B$501,"&gt;="&amp;A19,Data!B$2:B$501,"&lt;"&amp;EDATE(A19,1))</f>
        <v/>
      </c>
      <c r="C19" s="14">
        <f>COUNTIFS(Data!B$2:B$501,"&gt;="&amp;A19,Data!B$2:B$501,"&lt;"&amp;EDATE(A19,1))</f>
        <v/>
      </c>
      <c r="D19" s="13">
        <f>IF(C19=0,0,B19/C19)</f>
        <v/>
      </c>
    </row>
    <row r="20">
      <c r="A20" s="12" t="n">
        <v>45931</v>
      </c>
      <c r="B20" s="13">
        <f>SUMIFS(Data!I$2:I$501,Data!B$2:B$501,"&gt;="&amp;A20,Data!B$2:B$501,"&lt;"&amp;EDATE(A20,1))</f>
        <v/>
      </c>
      <c r="C20" s="14">
        <f>COUNTIFS(Data!B$2:B$501,"&gt;="&amp;A20,Data!B$2:B$501,"&lt;"&amp;EDATE(A20,1))</f>
        <v/>
      </c>
      <c r="D20" s="13">
        <f>IF(C20=0,0,B20/C20)</f>
        <v/>
      </c>
    </row>
    <row r="21">
      <c r="A21" s="12" t="n">
        <v>45962</v>
      </c>
      <c r="B21" s="13">
        <f>SUMIFS(Data!I$2:I$501,Data!B$2:B$501,"&gt;="&amp;A21,Data!B$2:B$501,"&lt;"&amp;EDATE(A21,1))</f>
        <v/>
      </c>
      <c r="C21" s="14">
        <f>COUNTIFS(Data!B$2:B$501,"&gt;="&amp;A21,Data!B$2:B$501,"&lt;"&amp;EDATE(A21,1))</f>
        <v/>
      </c>
      <c r="D21" s="13">
        <f>IF(C21=0,0,B21/C21)</f>
        <v/>
      </c>
    </row>
    <row r="22">
      <c r="A22" s="12" t="n">
        <v>45992</v>
      </c>
      <c r="B22" s="13">
        <f>SUMIFS(Data!I$2:I$501,Data!B$2:B$501,"&gt;="&amp;A22,Data!B$2:B$501,"&lt;"&amp;EDATE(A22,1))</f>
        <v/>
      </c>
      <c r="C22" s="14">
        <f>COUNTIFS(Data!B$2:B$501,"&gt;="&amp;A22,Data!B$2:B$501,"&lt;"&amp;EDATE(A22,1))</f>
        <v/>
      </c>
      <c r="D22" s="13">
        <f>IF(C22=0,0,B22/C22)</f>
        <v/>
      </c>
    </row>
  </sheetData>
  <mergeCells count="2">
    <mergeCell ref="A2:L2"/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2026-09-24T19:33:43+00:00Z</dcterms:created>
  <dcterms:modified xmlns:dcterms="http://purl.org/dc/terms/" xmlns:xsi="http://www.w3.org/2001/XMLSchema-instance" xsi:type="dcterms:W3CDTF">2026-09-24T19:33:43+00:00Z</dcterms:modified>
</cp:coreProperties>
</file>